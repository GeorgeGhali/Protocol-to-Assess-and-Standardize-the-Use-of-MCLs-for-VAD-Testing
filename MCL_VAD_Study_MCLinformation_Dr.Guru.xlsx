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drawings/drawing2.xml" ContentType="application/vnd.openxmlformats-officedocument.drawing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ofluser\Desktop\George\01-Private\heartmate iii test\To FDA\"/>
    </mc:Choice>
  </mc:AlternateContent>
  <xr:revisionPtr revIDLastSave="0" documentId="13_ncr:1_{DBFA1F11-AA10-40F3-AC95-3F87B318B93E}" xr6:coauthVersionLast="47" xr6:coauthVersionMax="47" xr10:uidLastSave="{00000000-0000-0000-0000-000000000000}"/>
  <bookViews>
    <workbookView xWindow="-110" yWindow="-110" windowWidth="19420" windowHeight="11500" tabRatio="685" activeTab="4" xr2:uid="{00000000-000D-0000-FFFF-FFFF00000000}"/>
  </bookViews>
  <sheets>
    <sheet name="Simulator description" sheetId="1" r:id="rId1"/>
    <sheet name="Hardware description" sheetId="2" r:id="rId2"/>
    <sheet name="Data acquisition" sheetId="4" r:id="rId3"/>
    <sheet name="Outputfile" sheetId="9" r:id="rId4"/>
    <sheet name="DataSummary(LinkedCells)" sheetId="10" r:id="rId5"/>
  </sheets>
  <definedNames>
    <definedName name="_Toc171324274" localSheetId="3">Outputfile!$G$24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5" i="10" l="1"/>
  <c r="A103" i="10"/>
  <c r="A98" i="10"/>
  <c r="B97" i="10"/>
  <c r="A97" i="10"/>
  <c r="B87" i="10"/>
  <c r="B73" i="10"/>
  <c r="B59" i="10"/>
  <c r="B20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<sst xmlns="http://schemas.openxmlformats.org/spreadsheetml/2006/main" count="241" uniqueCount="186">
  <si>
    <t>Type of simulator</t>
  </si>
  <si>
    <t>Modelling approach</t>
  </si>
  <si>
    <t>#</t>
  </si>
  <si>
    <t>Specification of vascular components</t>
  </si>
  <si>
    <t>Physiological mechanisms modelled</t>
  </si>
  <si>
    <t>Cardiac valves</t>
  </si>
  <si>
    <t>Time step for equations [ms]</t>
  </si>
  <si>
    <t>Medical devices that can be tested</t>
  </si>
  <si>
    <t>Liquid</t>
  </si>
  <si>
    <t>Number of actuators</t>
  </si>
  <si>
    <t>Type of actuators</t>
  </si>
  <si>
    <t>Number of vascular elements</t>
  </si>
  <si>
    <t>Cardiac chambers</t>
  </si>
  <si>
    <t>Vascular resistive elements</t>
  </si>
  <si>
    <t>Number of collapsible vascular tubes</t>
  </si>
  <si>
    <t>Number of tubes</t>
  </si>
  <si>
    <r>
      <t>Temperature of the liquid (room temperature/body temperature</t>
    </r>
    <r>
      <rPr>
        <b/>
        <sz val="9"/>
        <color theme="1"/>
        <rFont val="Aptos Narrow"/>
        <family val="2"/>
      </rPr>
      <t>)</t>
    </r>
  </si>
  <si>
    <t>Specify composition</t>
  </si>
  <si>
    <t>Number of compliant elements</t>
  </si>
  <si>
    <t>Type of compliant elements</t>
  </si>
  <si>
    <t xml:space="preserve">Number of pressure sensors </t>
  </si>
  <si>
    <t>Sampling rate for data acquisition</t>
  </si>
  <si>
    <t xml:space="preserve">Number of flow sensors </t>
  </si>
  <si>
    <t>Analog/ digital filter for data (include description if present)</t>
  </si>
  <si>
    <t>Data acquisition method (e.g. real time, triggering methods)</t>
  </si>
  <si>
    <t>Amplification (indicate if present and for which signals)</t>
  </si>
  <si>
    <t>DAQ board (brand, model)</t>
  </si>
  <si>
    <t>For each specify model, location on the simulator, calibration details, range, resolution, error, frequency response</t>
  </si>
  <si>
    <t>For each specify location, model, calibration details, range, resolution, error, frequency response</t>
  </si>
  <si>
    <t>Viscosity value in cP (specify if estimated or measured)</t>
  </si>
  <si>
    <t>Format of the acquisition file</t>
  </si>
  <si>
    <t xml:space="preserve">Execution of simulations in real time </t>
  </si>
  <si>
    <t xml:space="preserve"> </t>
  </si>
  <si>
    <t>Signals collected (those already selected are mandatory)</t>
  </si>
  <si>
    <t>Cardiac monitoring devices</t>
  </si>
  <si>
    <t>Density</t>
  </si>
  <si>
    <t>Newtonian / non Newtonian</t>
  </si>
  <si>
    <r>
      <t>For each tube specify: tube material, length,  internal diameter, geometry (cylindrical, tapered, straight, 90</t>
    </r>
    <r>
      <rPr>
        <sz val="11"/>
        <color theme="1"/>
        <rFont val="Aptos Narrow"/>
        <family val="2"/>
      </rPr>
      <t>° curvature…)</t>
    </r>
  </si>
  <si>
    <t>Connectors LVAD to simulator. Specify: tube material, length, internal diameter, geometry  (cilindrical, tapered, streight, 90° curvature…)</t>
  </si>
  <si>
    <t xml:space="preserve">If yes for which vascular components? </t>
  </si>
  <si>
    <t>Does the simulator include 1D model (yes/no)?</t>
  </si>
  <si>
    <t>mock loop</t>
  </si>
  <si>
    <t>hybrid simultor</t>
  </si>
  <si>
    <t>other</t>
  </si>
  <si>
    <t>0D model</t>
  </si>
  <si>
    <t>0D model combined with higher order</t>
  </si>
  <si>
    <t>open loo</t>
  </si>
  <si>
    <t>closed loop</t>
  </si>
  <si>
    <t>time varying elastance for atria</t>
  </si>
  <si>
    <t>time varying elastance for ventricle</t>
  </si>
  <si>
    <t>Left ventricle</t>
  </si>
  <si>
    <t>Left atrium</t>
  </si>
  <si>
    <t>Right ventricle</t>
  </si>
  <si>
    <t>Right atrium</t>
  </si>
  <si>
    <t>Systemic circulation</t>
  </si>
  <si>
    <t>Arterial</t>
  </si>
  <si>
    <t xml:space="preserve">Venous </t>
  </si>
  <si>
    <t>Arterial and venous mixed in one compartment</t>
  </si>
  <si>
    <t>Aorta</t>
  </si>
  <si>
    <t>Venous systemic circulation</t>
  </si>
  <si>
    <t>Pulmonary circulation</t>
  </si>
  <si>
    <t>Coronary circulation</t>
  </si>
  <si>
    <t>Cerebral circulation</t>
  </si>
  <si>
    <t>Renal circulation</t>
  </si>
  <si>
    <t>Valves</t>
  </si>
  <si>
    <t>Aortic</t>
  </si>
  <si>
    <t>Mitral</t>
  </si>
  <si>
    <t>Pulmonary</t>
  </si>
  <si>
    <t>Tricuspid</t>
  </si>
  <si>
    <t>Frank Starlin</t>
  </si>
  <si>
    <t>Systole/ Diastole ratio depening on HR</t>
  </si>
  <si>
    <t>Force/frequency relationship</t>
  </si>
  <si>
    <t>Non linear vascular compliance</t>
  </si>
  <si>
    <t>Non linar vascular resistance</t>
  </si>
  <si>
    <t>Venous valves</t>
  </si>
  <si>
    <t>Non linear atrial compliance</t>
  </si>
  <si>
    <t>In atrial systole</t>
  </si>
  <si>
    <t>In atrial diastole</t>
  </si>
  <si>
    <t>Non linear ventricular compliance</t>
  </si>
  <si>
    <t>In ventricular systole</t>
  </si>
  <si>
    <t>In ventricular diastole</t>
  </si>
  <si>
    <t>Baroreflex control</t>
  </si>
  <si>
    <t>Respiratory mechanics during spontanous breathing</t>
  </si>
  <si>
    <t>Respiratory mechanics during mechanical ventilation</t>
  </si>
  <si>
    <t>Heart lung interation</t>
  </si>
  <si>
    <t>Suction in the ventircular chamber</t>
  </si>
  <si>
    <t>Interventricular septum</t>
  </si>
  <si>
    <t>Pericardium</t>
  </si>
  <si>
    <t>Other</t>
  </si>
  <si>
    <t>yes</t>
  </si>
  <si>
    <t>no</t>
  </si>
  <si>
    <t>LVAD</t>
  </si>
  <si>
    <t>RVAD</t>
  </si>
  <si>
    <t>TAH</t>
  </si>
  <si>
    <t>IABP</t>
  </si>
  <si>
    <t>ECMO</t>
  </si>
  <si>
    <t>Heart valves</t>
  </si>
  <si>
    <t>Percutaneous transvalvular pump</t>
  </si>
  <si>
    <t>Pneumatic</t>
  </si>
  <si>
    <t>Hydraulic</t>
  </si>
  <si>
    <t>Pulsatile VAD</t>
  </si>
  <si>
    <t>Pinch valve</t>
  </si>
  <si>
    <t>Computer controlled resistance valve</t>
  </si>
  <si>
    <t>Hofman clamp</t>
  </si>
  <si>
    <t>Electrovalve</t>
  </si>
  <si>
    <t>Linear resistive element (Westerhof)</t>
  </si>
  <si>
    <t>Check valves</t>
  </si>
  <si>
    <t>Mechanical bileaflet</t>
  </si>
  <si>
    <t>Polymeric valve</t>
  </si>
  <si>
    <t>Disc valve</t>
  </si>
  <si>
    <t>Ball valve</t>
  </si>
  <si>
    <t>Hydraulic chamber with compressed air</t>
  </si>
  <si>
    <t>Hydraulic chamber with spring element</t>
  </si>
  <si>
    <t>Hydraulic chamber with elastic membrane</t>
  </si>
  <si>
    <t>Cardiac cycle time</t>
  </si>
  <si>
    <t>Left ventricular pressure</t>
  </si>
  <si>
    <t>Cardiac output</t>
  </si>
  <si>
    <t>Left atrial pressure</t>
  </si>
  <si>
    <t>Aortic pressure</t>
  </si>
  <si>
    <t>Flow loop temperature</t>
  </si>
  <si>
    <t>Left ventricuar volume</t>
  </si>
  <si>
    <t>Aortic flow</t>
  </si>
  <si>
    <t>LVAD flow</t>
  </si>
  <si>
    <t>LVAD inlet/outlet pressure</t>
  </si>
  <si>
    <t>LVAD internal pressure</t>
  </si>
  <si>
    <t>LVAD motor current, voltage, power</t>
  </si>
  <si>
    <t>LVAD rotational speed</t>
  </si>
  <si>
    <t>LVAD cycle time pulse rate</t>
  </si>
  <si>
    <t>Pulmonary arterial pressure</t>
  </si>
  <si>
    <t>Right atrial pressure</t>
  </si>
  <si>
    <t>Right ventricular pressure</t>
  </si>
  <si>
    <t>(mandatory)</t>
  </si>
  <si>
    <t>List other signals collected</t>
  </si>
  <si>
    <t>Indicate which signals are in silico and which are in vitro (for hybrid simulator)</t>
  </si>
  <si>
    <t xml:space="preserve">Element used to reproduce suction (e.g. collapsible tube, valve) </t>
  </si>
  <si>
    <t>ADInstruments_PowerLab</t>
  </si>
  <si>
    <t>ADInstruments_Octal Bridge Amp</t>
  </si>
  <si>
    <t>ADInstruments_C series</t>
  </si>
  <si>
    <t>MPVS Ultra</t>
  </si>
  <si>
    <t>Real Time</t>
  </si>
  <si>
    <t>Pressure signal Using ADInstruments_Octal Bridge Amp</t>
  </si>
  <si>
    <t>model</t>
  </si>
  <si>
    <t>Location</t>
  </si>
  <si>
    <t>Calibration</t>
  </si>
  <si>
    <t>range</t>
  </si>
  <si>
    <t>(-20 to 300 mmHg)</t>
  </si>
  <si>
    <t>Sensitivity</t>
  </si>
  <si>
    <t>SP 844 Physiological Pressure Transducer</t>
  </si>
  <si>
    <t>5.02 uV/V/mmHg</t>
  </si>
  <si>
    <t>Before Left Atrium</t>
  </si>
  <si>
    <t>Between Left Atrium and Left Ventricle inlet</t>
  </si>
  <si>
    <t>At the LV Apex before the VAD inlet</t>
  </si>
  <si>
    <t>Right after the VAD outlet</t>
  </si>
  <si>
    <t>at the junction between LV outlet and the VAD outlet</t>
  </si>
  <si>
    <t>after the systemic compliance</t>
  </si>
  <si>
    <t>P1 (mmHg)</t>
  </si>
  <si>
    <t>V1 (mV)</t>
  </si>
  <si>
    <t>P2 (mmHg)</t>
  </si>
  <si>
    <t>V2 (mV)</t>
  </si>
  <si>
    <t>Resolution ( ml/min)</t>
  </si>
  <si>
    <t>Q1 (LPM)</t>
  </si>
  <si>
    <t>Q2 (LPM)</t>
  </si>
  <si>
    <t>Clamp-on Transonic Flowsensor_ME 20 PXL</t>
  </si>
  <si>
    <t>Clamp-on Transonic Flowsensor_ME 16 PXL</t>
  </si>
  <si>
    <t>before left atrium</t>
  </si>
  <si>
    <t>after the VAD outlet nad before the juction to the LV outlet</t>
  </si>
  <si>
    <t>V2 (V)</t>
  </si>
  <si>
    <t>V1 (V)</t>
  </si>
  <si>
    <t>(-50 to 50 )</t>
  </si>
  <si>
    <t>range (LPM)</t>
  </si>
  <si>
    <t>(-100 to 100)</t>
  </si>
  <si>
    <t>Accuracy (% of the reading)</t>
  </si>
  <si>
    <t>±10</t>
  </si>
  <si>
    <t>LVEDP</t>
  </si>
  <si>
    <t>LabChart Data File</t>
  </si>
  <si>
    <t>material</t>
  </si>
  <si>
    <t>Water/Glycerol volume</t>
  </si>
  <si>
    <t>650/350</t>
  </si>
  <si>
    <t>ml</t>
  </si>
  <si>
    <r>
      <t>21.7</t>
    </r>
    <r>
      <rPr>
        <b/>
        <sz val="11"/>
        <color theme="1"/>
        <rFont val="Aptos Narrow"/>
        <family val="2"/>
      </rPr>
      <t>ºc</t>
    </r>
  </si>
  <si>
    <t>cP</t>
  </si>
  <si>
    <r>
      <t>kg/m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</si>
  <si>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t>Newtonian</t>
  </si>
  <si>
    <t>length (in)</t>
  </si>
  <si>
    <t>ID (in)</t>
  </si>
  <si>
    <t>Silicon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</si>
</sst>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rgb="FF211D1E"/>
      <name val="Calibri"/>
      <family val="2"/>
    </font>
    <font>
      <sz val="8"/>
      <color rgb="FF000000"/>
      <name val="Segoe UI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8" fillId="0" borderId="0" xfId="0" applyFont="1"/>
    <xf numFmtId="0" fontId="1" fillId="2" borderId="0" xfId="0" applyFont="1" applyFill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'DataSummary(LinkedCells)'!$B$2" lockText="1" noThreeD="1"/>
</file>

<file path=xl/ctrlProps/ctrlProp2.xml><?xml version="1.0" encoding="utf-8"?>
<formControlPr xmlns="http://schemas.microsoft.com/office/spreadsheetml/2009/9/main" objectType="CheckBox" fmlaLink="'DataSummary(LinkedCells)'!$B$3" lockText="1" noThreeD="1"/>
</file>

<file path=xl/ctrlProps/ctrlProp3.xml><?xml version="1.0" encoding="utf-8"?>
<formControlPr xmlns="http://schemas.microsoft.com/office/spreadsheetml/2009/9/main" objectType="CheckBox" fmlaLink="'DataSummary(LinkedCells)'!$B$4" lockText="1" noThreeD="1"/>
</file>

<file path=xl/ctrlProps/ctrlProp4.xml><?xml version="1.0" encoding="utf-8"?>
<formControlPr xmlns="http://schemas.microsoft.com/office/spreadsheetml/2009/9/main" objectType="CheckBox" fmlaLink="'DataSummary(LinkedCells)'!$B$7" lockText="1" noThreeD="1"/>
</file>

<file path=xl/ctrlProps/ctrlProp5.xml><?xml version="1.0" encoding="utf-8"?>
<formControlPr xmlns="http://schemas.microsoft.com/office/spreadsheetml/2009/9/main" objectType="CheckBox" fmlaLink="'DataSummary(LinkedCells)'!$B$8" lockText="1" noThreeD="1"/>
</file>

<file path=xl/ctrlProps/ctrlProp6.xml><?xml version="1.0" encoding="utf-8"?>
<formControlPr xmlns="http://schemas.microsoft.com/office/spreadsheetml/2009/9/main" objectType="CheckBox" fmlaLink="'DataSummary(LinkedCells)'!$B$9" lockText="1" noThreeD="1"/>
</file>

<file path=xl/ctrlProps/ctrlProp7.xml><?xml version="1.0" encoding="utf-8"?>
<formControlPr xmlns="http://schemas.microsoft.com/office/spreadsheetml/2009/9/main" objectType="CheckBox" checked="Checked" fmlaLink="'DataSummary(LinkedCells)'!$B$10" lockText="1" noThreeD="1"/>
</file>

<file path=xl/ctrlProps/ctrlProp8.xml><?xml version="1.0" encoding="utf-8"?>
<formControlPr xmlns="http://schemas.microsoft.com/office/spreadsheetml/2009/9/main" objectType="CheckBox" fmlaLink="'DataSummary(LinkedCells)'!$B$11" lockText="1" noThreeD="1"/>
</file>

<file path=xl/ctrlProps/ctrlProp9.xml><?xml version="1.0" encoding="utf-8"?>
<formControlPr xmlns="http://schemas.microsoft.com/office/spreadsheetml/2009/9/main" objectType="CheckBox" fmlaLink="'DataSummary(LinkedCells)'!$B$12" lockText="1" noThreeD="1"/>
</file>

<file path=xl/ctrlProps/ctrlProp10.xml><?xml version="1.0" encoding="utf-8"?>
<formControlPr xmlns="http://schemas.microsoft.com/office/spreadsheetml/2009/9/main" objectType="CheckBox" checked="Checked" fmlaLink="'DataSummary(LinkedCells)'!$B$15" lockText="1" noThreeD="1"/>
</file>

<file path=xl/ctrlProps/ctrlProp11.xml><?xml version="1.0" encoding="utf-8"?>
<formControlPr xmlns="http://schemas.microsoft.com/office/spreadsheetml/2009/9/main" objectType="CheckBox" checked="Checked" fmlaLink="'DataSummary(LinkedCells)'!$B$16" lockText="1" noThreeD="1"/>
</file>

<file path=xl/ctrlProps/ctrlProp12.xml><?xml version="1.0" encoding="utf-8"?>
<formControlPr xmlns="http://schemas.microsoft.com/office/spreadsheetml/2009/9/main" objectType="CheckBox" fmlaLink="'DataSummary(LinkedCells)'!$B$17" lockText="1" noThreeD="1"/>
</file>

<file path=xl/ctrlProps/ctrlProp13.xml><?xml version="1.0" encoding="utf-8"?>
<formControlPr xmlns="http://schemas.microsoft.com/office/spreadsheetml/2009/9/main" objectType="CheckBox" fmlaLink="'DataSummary(LinkedCells)'!$B$18" lockText="1" noThreeD="1"/>
</file>

<file path=xl/ctrlProps/ctrlProp14.xml><?xml version="1.0" encoding="utf-8"?>
<formControlPr xmlns="http://schemas.microsoft.com/office/spreadsheetml/2009/9/main" objectType="CheckBox" checked="Checked" fmlaLink="'DataSummary(LinkedCells)'!$B$22" lockText="1" noThreeD="1"/>
</file>

<file path=xl/ctrlProps/ctrlProp15.xml><?xml version="1.0" encoding="utf-8"?>
<formControlPr xmlns="http://schemas.microsoft.com/office/spreadsheetml/2009/9/main" objectType="CheckBox" checked="Checked" fmlaLink="'DataSummary(LinkedCells)'!$B$26" lockText="1" noThreeD="1"/>
</file>

<file path=xl/ctrlProps/ctrlProp16.xml><?xml version="1.0" encoding="utf-8"?>
<formControlPr xmlns="http://schemas.microsoft.com/office/spreadsheetml/2009/9/main" objectType="CheckBox" fmlaLink="'DataSummary(LinkedCells)'!$B$27" lockText="1" noThreeD="1"/>
</file>

<file path=xl/ctrlProps/ctrlProp17.xml><?xml version="1.0" encoding="utf-8"?>
<formControlPr xmlns="http://schemas.microsoft.com/office/spreadsheetml/2009/9/main" objectType="CheckBox" checked="Checked" fmlaLink="'DataSummary(LinkedCells)'!$B$23" lockText="1" noThreeD="1"/>
</file>

<file path=xl/ctrlProps/ctrlProp18.xml><?xml version="1.0" encoding="utf-8"?>
<formControlPr xmlns="http://schemas.microsoft.com/office/spreadsheetml/2009/9/main" objectType="CheckBox" fmlaLink="'DataSummary(LinkedCells)'!$B$24" lockText="1" noThreeD="1"/>
</file>

<file path=xl/ctrlProps/ctrlProp19.xml><?xml version="1.0" encoding="utf-8"?>
<formControlPr xmlns="http://schemas.microsoft.com/office/spreadsheetml/2009/9/main" objectType="CheckBox" fmlaLink="'DataSummary(LinkedCells)'!$B$25" lockText="1" noThreeD="1"/>
</file>

<file path=xl/ctrlProps/ctrlProp20.xml><?xml version="1.0" encoding="utf-8"?>
<formControlPr xmlns="http://schemas.microsoft.com/office/spreadsheetml/2009/9/main" objectType="CheckBox" fmlaLink="'DataSummary(LinkedCells)'!$B$28" lockText="1" noThreeD="1"/>
</file>

<file path=xl/ctrlProps/ctrlProp21.xml><?xml version="1.0" encoding="utf-8"?>
<formControlPr xmlns="http://schemas.microsoft.com/office/spreadsheetml/2009/9/main" objectType="CheckBox" fmlaLink="'DataSummary(LinkedCells)'!$B$29" lockText="1" noThreeD="1"/>
</file>

<file path=xl/ctrlProps/ctrlProp22.xml><?xml version="1.0" encoding="utf-8"?>
<formControlPr xmlns="http://schemas.microsoft.com/office/spreadsheetml/2009/9/main" objectType="CheckBox" fmlaLink="'DataSummary(LinkedCells)'!$B$30" lockText="1" noThreeD="1"/>
</file>

<file path=xl/ctrlProps/ctrlProp23.xml><?xml version="1.0" encoding="utf-8"?>
<formControlPr xmlns="http://schemas.microsoft.com/office/spreadsheetml/2009/9/main" objectType="CheckBox" checked="Checked" fmlaLink="'DataSummary(LinkedCells)'!$B$32" lockText="1" noThreeD="1"/>
</file>

<file path=xl/ctrlProps/ctrlProp24.xml><?xml version="1.0" encoding="utf-8"?>
<formControlPr xmlns="http://schemas.microsoft.com/office/spreadsheetml/2009/9/main" objectType="CheckBox" checked="Checked" fmlaLink="'DataSummary(LinkedCells)'!$B$33" lockText="1" noThreeD="1"/>
</file>

<file path=xl/ctrlProps/ctrlProp25.xml><?xml version="1.0" encoding="utf-8"?>
<formControlPr xmlns="http://schemas.microsoft.com/office/spreadsheetml/2009/9/main" objectType="CheckBox" checked="Checked" fmlaLink="'DataSummary(LinkedCells)'!$B$34" lockText="1" noThreeD="1"/>
</file>

<file path=xl/ctrlProps/ctrlProp26.xml><?xml version="1.0" encoding="utf-8"?>
<formControlPr xmlns="http://schemas.microsoft.com/office/spreadsheetml/2009/9/main" objectType="CheckBox" fmlaLink="'DataSummary(LinkedCells)'!$B$35" lockText="1" noThreeD="1"/>
</file>

<file path=xl/ctrlProps/ctrlProp27.xml><?xml version="1.0" encoding="utf-8"?>
<formControlPr xmlns="http://schemas.microsoft.com/office/spreadsheetml/2009/9/main" objectType="CheckBox" fmlaLink="'DataSummary(LinkedCells)'!$B$36" lockText="1" noThreeD="1"/>
</file>

<file path=xl/ctrlProps/ctrlProp28.xml><?xml version="1.0" encoding="utf-8"?>
<formControlPr xmlns="http://schemas.microsoft.com/office/spreadsheetml/2009/9/main" objectType="CheckBox" fmlaLink="'DataSummary(LinkedCells)'!$B$39" lockText="1" noThreeD="1"/>
</file>

<file path=xl/ctrlProps/ctrlProp29.xml><?xml version="1.0" encoding="utf-8"?>
<formControlPr xmlns="http://schemas.microsoft.com/office/spreadsheetml/2009/9/main" objectType="CheckBox" checked="Checked" fmlaLink="'DataSummary(LinkedCells)'!$B$40" lockText="1" noThreeD="1"/>
</file>

<file path=xl/ctrlProps/ctrlProp30.xml><?xml version="1.0" encoding="utf-8"?>
<formControlPr xmlns="http://schemas.microsoft.com/office/spreadsheetml/2009/9/main" objectType="CheckBox" fmlaLink="'DataSummary(LinkedCells)'!$B$41" lockText="1" noThreeD="1"/>
</file>

<file path=xl/ctrlProps/ctrlProp31.xml><?xml version="1.0" encoding="utf-8"?>
<formControlPr xmlns="http://schemas.microsoft.com/office/spreadsheetml/2009/9/main" objectType="CheckBox" checked="Checked" fmlaLink="'DataSummary(LinkedCells)'!$B$42" lockText="1" noThreeD="1"/>
</file>

<file path=xl/ctrlProps/ctrlProp32.xml><?xml version="1.0" encoding="utf-8"?>
<formControlPr xmlns="http://schemas.microsoft.com/office/spreadsheetml/2009/9/main" objectType="CheckBox" checked="Checked" fmlaLink="'DataSummary(LinkedCells)'!$B$43" lockText="1" noThreeD="1"/>
</file>

<file path=xl/ctrlProps/ctrlProp33.xml><?xml version="1.0" encoding="utf-8"?>
<formControlPr xmlns="http://schemas.microsoft.com/office/spreadsheetml/2009/9/main" objectType="CheckBox" fmlaLink="'DataSummary(LinkedCells)'!$B$44" lockText="1" noThreeD="1"/>
</file>

<file path=xl/ctrlProps/ctrlProp34.xml><?xml version="1.0" encoding="utf-8"?>
<formControlPr xmlns="http://schemas.microsoft.com/office/spreadsheetml/2009/9/main" objectType="CheckBox" fmlaLink="'DataSummary(LinkedCells)'!$B$45" lockText="1" noThreeD="1"/>
</file>

<file path=xl/ctrlProps/ctrlProp35.xml><?xml version="1.0" encoding="utf-8"?>
<formControlPr xmlns="http://schemas.microsoft.com/office/spreadsheetml/2009/9/main" objectType="CheckBox" fmlaLink="'DataSummary(LinkedCells)'!$B$48" lockText="1" noThreeD="1"/>
</file>

<file path=xl/ctrlProps/ctrlProp36.xml><?xml version="1.0" encoding="utf-8"?>
<formControlPr xmlns="http://schemas.microsoft.com/office/spreadsheetml/2009/9/main" objectType="CheckBox" fmlaLink="'DataSummary(LinkedCells)'!$B$46" lockText="1" noThreeD="1"/>
</file>

<file path=xl/ctrlProps/ctrlProp37.xml><?xml version="1.0" encoding="utf-8"?>
<formControlPr xmlns="http://schemas.microsoft.com/office/spreadsheetml/2009/9/main" objectType="CheckBox" fmlaLink="'DataSummary(LinkedCells)'!$B$47" lockText="1" noThreeD="1"/>
</file>

<file path=xl/ctrlProps/ctrlProp38.xml><?xml version="1.0" encoding="utf-8"?>
<formControlPr xmlns="http://schemas.microsoft.com/office/spreadsheetml/2009/9/main" objectType="CheckBox" fmlaLink="'DataSummary(LinkedCells)'!$B$49" lockText="1" noThreeD="1"/>
</file>

<file path=xl/ctrlProps/ctrlProp39.xml><?xml version="1.0" encoding="utf-8"?>
<formControlPr xmlns="http://schemas.microsoft.com/office/spreadsheetml/2009/9/main" objectType="CheckBox" fmlaLink="'DataSummary(LinkedCells)'!$B$50" lockText="1" noThreeD="1"/>
</file>

<file path=xl/ctrlProps/ctrlProp40.xml><?xml version="1.0" encoding="utf-8"?>
<formControlPr xmlns="http://schemas.microsoft.com/office/spreadsheetml/2009/9/main" objectType="CheckBox" fmlaLink="'DataSummary(LinkedCells)'!$B$51" lockText="1" noThreeD="1"/>
</file>

<file path=xl/ctrlProps/ctrlProp41.xml><?xml version="1.0" encoding="utf-8"?>
<formControlPr xmlns="http://schemas.microsoft.com/office/spreadsheetml/2009/9/main" objectType="CheckBox" fmlaLink="'DataSummary(LinkedCells)'!$B$52" lockText="1" noThreeD="1"/>
</file>

<file path=xl/ctrlProps/ctrlProp42.xml><?xml version="1.0" encoding="utf-8"?>
<formControlPr xmlns="http://schemas.microsoft.com/office/spreadsheetml/2009/9/main" objectType="CheckBox" fmlaLink="'DataSummary(LinkedCells)'!$B$53" lockText="1" noThreeD="1"/>
</file>

<file path=xl/ctrlProps/ctrlProp43.xml><?xml version="1.0" encoding="utf-8"?>
<formControlPr xmlns="http://schemas.microsoft.com/office/spreadsheetml/2009/9/main" objectType="CheckBox" fmlaLink="'DataSummary(LinkedCells)'!$B$54" lockText="1" noThreeD="1"/>
</file>

<file path=xl/ctrlProps/ctrlProp44.xml><?xml version="1.0" encoding="utf-8"?>
<formControlPr xmlns="http://schemas.microsoft.com/office/spreadsheetml/2009/9/main" objectType="CheckBox" fmlaLink="'DataSummary(LinkedCells)'!$B$55" lockText="1" noThreeD="1"/>
</file>

<file path=xl/ctrlProps/ctrlProp45.xml><?xml version="1.0" encoding="utf-8"?>
<formControlPr xmlns="http://schemas.microsoft.com/office/spreadsheetml/2009/9/main" objectType="CheckBox" fmlaLink="'DataSummary(LinkedCells)'!$B$56" lockText="1" noThreeD="1"/>
</file>

<file path=xl/ctrlProps/ctrlProp46.xml><?xml version="1.0" encoding="utf-8"?>
<formControlPr xmlns="http://schemas.microsoft.com/office/spreadsheetml/2009/9/main" objectType="CheckBox" fmlaLink="'DataSummary(LinkedCells)'!$B$57" lockText="1" noThreeD="1"/>
</file>

<file path=xl/ctrlProps/ctrlProp47.xml><?xml version="1.0" encoding="utf-8"?>
<formControlPr xmlns="http://schemas.microsoft.com/office/spreadsheetml/2009/9/main" objectType="CheckBox" fmlaLink="'DataSummary(LinkedCells)'!$B$58" lockText="1" noThreeD="1"/>
</file>

<file path=xl/ctrlProps/ctrlProp48.xml><?xml version="1.0" encoding="utf-8"?>
<formControlPr xmlns="http://schemas.microsoft.com/office/spreadsheetml/2009/9/main" objectType="CheckBox" checked="Checked" fmlaLink="'DataSummary(LinkedCells)'!$B$64" lockText="1" noThreeD="1"/>
</file>

<file path=xl/ctrlProps/ctrlProp49.xml><?xml version="1.0" encoding="utf-8"?>
<formControlPr xmlns="http://schemas.microsoft.com/office/spreadsheetml/2009/9/main" objectType="CheckBox" fmlaLink="'DataSummary(LinkedCells)'!$B$65" lockText="1" noThreeD="1"/>
</file>

<file path=xl/ctrlProps/ctrlProp50.xml><?xml version="1.0" encoding="utf-8"?>
<formControlPr xmlns="http://schemas.microsoft.com/office/spreadsheetml/2009/9/main" objectType="CheckBox" fmlaLink="'DataSummary(LinkedCells)'!$B$66" lockText="1" noThreeD="1"/>
</file>

<file path=xl/ctrlProps/ctrlProp51.xml><?xml version="1.0" encoding="utf-8"?>
<formControlPr xmlns="http://schemas.microsoft.com/office/spreadsheetml/2009/9/main" objectType="CheckBox" fmlaLink="'DataSummary(LinkedCells)'!$B$67" lockText="1" noThreeD="1"/>
</file>

<file path=xl/ctrlProps/ctrlProp52.xml><?xml version="1.0" encoding="utf-8"?>
<formControlPr xmlns="http://schemas.microsoft.com/office/spreadsheetml/2009/9/main" objectType="CheckBox" fmlaLink="'DataSummary(LinkedCells)'!$B$68" lockText="1" noThreeD="1"/>
</file>

<file path=xl/ctrlProps/ctrlProp53.xml><?xml version="1.0" encoding="utf-8"?>
<formControlPr xmlns="http://schemas.microsoft.com/office/spreadsheetml/2009/9/main" objectType="CheckBox" fmlaLink="'DataSummary(LinkedCells)'!$B$69" lockText="1" noThreeD="1"/>
</file>

<file path=xl/ctrlProps/ctrlProp54.xml><?xml version="1.0" encoding="utf-8"?>
<formControlPr xmlns="http://schemas.microsoft.com/office/spreadsheetml/2009/9/main" objectType="CheckBox" fmlaLink="'DataSummary(LinkedCells)'!$B$61" lockText="1" noThreeD="1"/>
</file>

<file path=xl/ctrlProps/ctrlProp55.xml><?xml version="1.0" encoding="utf-8"?>
<formControlPr xmlns="http://schemas.microsoft.com/office/spreadsheetml/2009/9/main" objectType="CheckBox" fmlaLink="'DataSummary(LinkedCells)'!$B$62" lockText="1" noThreeD="1"/>
</file>

<file path=xl/ctrlProps/ctrlProp56.xml><?xml version="1.0" encoding="utf-8"?>
<formControlPr xmlns="http://schemas.microsoft.com/office/spreadsheetml/2009/9/main" objectType="CheckBox" fmlaLink="'DataSummary(LinkedCells)'!$B$31" lockText="1" noThreeD="1"/>
</file>

<file path=xl/ctrlProps/ctrlProp57.xml><?xml version="1.0" encoding="utf-8"?>
<formControlPr xmlns="http://schemas.microsoft.com/office/spreadsheetml/2009/9/main" objectType="CheckBox" fmlaLink="'DataSummary(LinkedCells)'!$B$70" lockText="1" noThreeD="1"/>
</file>

<file path=xl/ctrlProps/ctrlProp58.xml><?xml version="1.0" encoding="utf-8"?>
<formControlPr xmlns="http://schemas.microsoft.com/office/spreadsheetml/2009/9/main" objectType="CheckBox" fmlaLink="'DataSummary(LinkedCells)'!$B$71" lockText="1" noThreeD="1"/>
</file>

<file path=xl/ctrlProps/ctrlProp59.xml><?xml version="1.0" encoding="utf-8"?>
<formControlPr xmlns="http://schemas.microsoft.com/office/spreadsheetml/2009/9/main" objectType="CheckBox" checked="Checked" fmlaLink="'DataSummary(LinkedCells)'!$B$75" lockText="1" noThreeD="1"/>
</file>

<file path=xl/ctrlProps/ctrlProp60.xml><?xml version="1.0" encoding="utf-8"?>
<formControlPr xmlns="http://schemas.microsoft.com/office/spreadsheetml/2009/9/main" objectType="CheckBox" fmlaLink="'DataSummary(LinkedCells)'!$B$76" lockText="1" noThreeD="1"/>
</file>

<file path=xl/ctrlProps/ctrlProp61.xml><?xml version="1.0" encoding="utf-8"?>
<formControlPr xmlns="http://schemas.microsoft.com/office/spreadsheetml/2009/9/main" objectType="CheckBox" fmlaLink="'DataSummary(LinkedCells)'!$B$77" lockText="1" noThreeD="1"/>
</file>

<file path=xl/ctrlProps/ctrlProp62.xml><?xml version="1.0" encoding="utf-8"?>
<formControlPr xmlns="http://schemas.microsoft.com/office/spreadsheetml/2009/9/main" objectType="CheckBox" fmlaLink="'DataSummary(LinkedCells)'!$B$78" lockText="1" noThreeD="1"/>
</file>

<file path=xl/ctrlProps/ctrlProp63.xml><?xml version="1.0" encoding="utf-8"?>
<formControlPr xmlns="http://schemas.microsoft.com/office/spreadsheetml/2009/9/main" objectType="CheckBox" fmlaLink="'DataSummary(LinkedCells)'!$B$81" lockText="1" noThreeD="1"/>
</file>

<file path=xl/ctrlProps/ctrlProp64.xml><?xml version="1.0" encoding="utf-8"?>
<formControlPr xmlns="http://schemas.microsoft.com/office/spreadsheetml/2009/9/main" objectType="CheckBox" fmlaLink="'DataSummary(LinkedCells)'!$B$82" lockText="1" noThreeD="1"/>
</file>

<file path=xl/ctrlProps/ctrlProp65.xml><?xml version="1.0" encoding="utf-8"?>
<formControlPr xmlns="http://schemas.microsoft.com/office/spreadsheetml/2009/9/main" objectType="CheckBox" checked="Checked" fmlaLink="'DataSummary(LinkedCells)'!$B$83" lockText="1" noThreeD="1"/>
</file>

<file path=xl/ctrlProps/ctrlProp66.xml><?xml version="1.0" encoding="utf-8"?>
<formControlPr xmlns="http://schemas.microsoft.com/office/spreadsheetml/2009/9/main" objectType="CheckBox" fmlaLink="'DataSummary(LinkedCells)'!$B$84" lockText="1" noThreeD="1"/>
</file>

<file path=xl/ctrlProps/ctrlProp67.xml><?xml version="1.0" encoding="utf-8"?>
<formControlPr xmlns="http://schemas.microsoft.com/office/spreadsheetml/2009/9/main" objectType="CheckBox" fmlaLink="'DataSummary(LinkedCells)'!$B$85" lockText="1" noThreeD="1"/>
</file>

<file path=xl/ctrlProps/ctrlProp68.xml><?xml version="1.0" encoding="utf-8"?>
<formControlPr xmlns="http://schemas.microsoft.com/office/spreadsheetml/2009/9/main" objectType="CheckBox" fmlaLink="'DataSummary(LinkedCells)'!$B$90" lockText="1" noThreeD="1"/>
</file>

<file path=xl/ctrlProps/ctrlProp69.xml><?xml version="1.0" encoding="utf-8"?>
<formControlPr xmlns="http://schemas.microsoft.com/office/spreadsheetml/2009/9/main" objectType="CheckBox" fmlaLink="'DataSummary(LinkedCells)'!$B$95" lockText="1" noThreeD="1"/>
</file>

<file path=xl/ctrlProps/ctrlProp70.xml><?xml version="1.0" encoding="utf-8"?>
<formControlPr xmlns="http://schemas.microsoft.com/office/spreadsheetml/2009/9/main" objectType="CheckBox" checked="Checked" fmlaLink="'DataSummary(LinkedCells)'!$B$99" lockText="1" noThreeD="1"/>
</file>

<file path=xl/ctrlProps/ctrlProp71.xml><?xml version="1.0" encoding="utf-8"?>
<formControlPr xmlns="http://schemas.microsoft.com/office/spreadsheetml/2009/9/main" objectType="CheckBox" fmlaLink="'DataSummary(LinkedCells)'!$B$100" lockText="1" noThreeD="1"/>
</file>

<file path=xl/ctrlProps/ctrlProp72.xml><?xml version="1.0" encoding="utf-8"?>
<formControlPr xmlns="http://schemas.microsoft.com/office/spreadsheetml/2009/9/main" objectType="CheckBox" fmlaLink="'DataSummary(LinkedCells)'!$B$101" lockText="1" noThreeD="1"/>
</file>

<file path=xl/ctrlProps/ctrlProp73.xml><?xml version="1.0" encoding="utf-8"?>
<formControlPr xmlns="http://schemas.microsoft.com/office/spreadsheetml/2009/9/main" objectType="CheckBox" fmlaLink="'DataSummary(LinkedCells)'!$B$91" lockText="1" noThreeD="1"/>
</file>

<file path=xl/ctrlProps/ctrlProp74.xml><?xml version="1.0" encoding="utf-8"?>
<formControlPr xmlns="http://schemas.microsoft.com/office/spreadsheetml/2009/9/main" objectType="CheckBox" fmlaLink="'DataSummary(LinkedCells)'!$B$92" lockText="1" noThreeD="1"/>
</file>

<file path=xl/ctrlProps/ctrlProp75.xml><?xml version="1.0" encoding="utf-8"?>
<formControlPr xmlns="http://schemas.microsoft.com/office/spreadsheetml/2009/9/main" objectType="CheckBox" checked="Checked" fmlaLink="'DataSummary(LinkedCells)'!$B$93" lockText="1" noThreeD="1"/>
</file>

<file path=xl/ctrlProps/ctrlProp76.xml><?xml version="1.0" encoding="utf-8"?>
<formControlPr xmlns="http://schemas.microsoft.com/office/spreadsheetml/2009/9/main" objectType="CheckBox" fmlaLink="'DataSummary(LinkedCells)'!$B$94" lockText="1" noThreeD="1"/>
</file>

<file path=xl/ctrlProps/ctrlProp77.xml><?xml version="1.0" encoding="utf-8"?>
<formControlPr xmlns="http://schemas.microsoft.com/office/spreadsheetml/2009/9/main" objectType="CheckBox" checked="Checked" fmlaLink="'DataSummary(LinkedCells)'!$B$108" lockText="1" noThreeD="1"/>
</file>

<file path=xl/ctrlProps/ctrlProp78.xml><?xml version="1.0" encoding="utf-8"?>
<formControlPr xmlns="http://schemas.microsoft.com/office/spreadsheetml/2009/9/main" objectType="CheckBox" checked="Checked" fmlaLink="'DataSummary(LinkedCells)'!$B$107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fmlaLink="'DataSummary(LinkedCells)'!$B$109" lockText="1" noThreeD="1"/>
</file>

<file path=xl/ctrlProps/ctrlProp82.xml><?xml version="1.0" encoding="utf-8"?>
<formControlPr xmlns="http://schemas.microsoft.com/office/spreadsheetml/2009/9/main" objectType="CheckBox" checked="Checked" fmlaLink="'DataSummary(LinkedCells)'!$B$106" lockText="1" noThreeD="1"/>
</file>

<file path=xl/ctrlProps/ctrlProp83.xml><?xml version="1.0" encoding="utf-8"?>
<formControlPr xmlns="http://schemas.microsoft.com/office/spreadsheetml/2009/9/main" objectType="CheckBox" checked="Checked" fmlaLink="'DataSummary(LinkedCells)'!$B$110" lockText="1" noThreeD="1"/>
</file>

<file path=xl/ctrlProps/ctrlProp84.xml><?xml version="1.0" encoding="utf-8"?>
<formControlPr xmlns="http://schemas.microsoft.com/office/spreadsheetml/2009/9/main" objectType="CheckBox" checked="Checked" fmlaLink="'DataSummary(LinkedCells)'!$B$112" lockText="1" noThreeD="1"/>
</file>

<file path=xl/ctrlProps/ctrlProp85.xml><?xml version="1.0" encoding="utf-8"?>
<formControlPr xmlns="http://schemas.microsoft.com/office/spreadsheetml/2009/9/main" objectType="CheckBox" fmlaLink="'DataSummary(LinkedCells)'!$B$113" lockText="1" noThreeD="1"/>
</file>

<file path=xl/ctrlProps/ctrlProp86.xml><?xml version="1.0" encoding="utf-8"?>
<formControlPr xmlns="http://schemas.microsoft.com/office/spreadsheetml/2009/9/main" objectType="CheckBox" checked="Checked" fmlaLink="'DataSummary(LinkedCells)'!$B$114" lockText="1" noThreeD="1"/>
</file>

<file path=xl/ctrlProps/ctrlProp87.xml><?xml version="1.0" encoding="utf-8"?>
<formControlPr xmlns="http://schemas.microsoft.com/office/spreadsheetml/2009/9/main" objectType="CheckBox" checked="Checked" fmlaLink="'DataSummary(LinkedCells)'!$B$115" lockText="1" noThreeD="1"/>
</file>

<file path=xl/ctrlProps/ctrlProp88.xml><?xml version="1.0" encoding="utf-8"?>
<formControlPr xmlns="http://schemas.microsoft.com/office/spreadsheetml/2009/9/main" objectType="CheckBox" checked="Checked" fmlaLink="'DataSummary(LinkedCells)'!$B$116" lockText="1" noThreeD="1"/>
</file>

<file path=xl/ctrlProps/ctrlProp89.xml><?xml version="1.0" encoding="utf-8"?>
<formControlPr xmlns="http://schemas.microsoft.com/office/spreadsheetml/2009/9/main" objectType="CheckBox" fmlaLink="'DataSummary(LinkedCells)'!$B$117" lockText="1" noThreeD="1"/>
</file>

<file path=xl/ctrlProps/ctrlProp90.xml><?xml version="1.0" encoding="utf-8"?>
<formControlPr xmlns="http://schemas.microsoft.com/office/spreadsheetml/2009/9/main" objectType="CheckBox" fmlaLink="'DataSummary(LinkedCells)'!$B$118" lockText="1" noThreeD="1"/>
</file>

<file path=xl/ctrlProps/ctrlProp91.xml><?xml version="1.0" encoding="utf-8"?>
<formControlPr xmlns="http://schemas.microsoft.com/office/spreadsheetml/2009/9/main" objectType="CheckBox" fmlaLink="'DataSummary(LinkedCells)'!$B$119" lockText="1" noThreeD="1"/>
</file>

<file path=xl/ctrlProps/ctrlProp92.xml><?xml version="1.0" encoding="utf-8"?>
<formControlPr xmlns="http://schemas.microsoft.com/office/spreadsheetml/2009/9/main" objectType="CheckBox" fmlaLink="'DataSummary(LinkedCells)'!$B$120" lockText="1" noThreeD="1"/>
</file>

<file path=xl/ctrlProps/ctrlProp93.xml><?xml version="1.0" encoding="utf-8"?>
<formControlPr xmlns="http://schemas.microsoft.com/office/spreadsheetml/2009/9/main" objectType="CheckBox" fmlaLink="'DataSummary(LinkedCells)'!$B$121" lockText="1" noThreeD="1"/>
</file>

<file path=xl/ctrlProps/ctrlProp94.xml><?xml version="1.0" encoding="utf-8"?>
<formControlPr xmlns="http://schemas.microsoft.com/office/spreadsheetml/2009/9/main" objectType="CheckBox" fmlaLink="'DataSummary(LinkedCells)'!$B$122" lockText="1" noThreeD="1"/>
</file>

<file path=xl/ctrlProps/ctrlProp95.xml><?xml version="1.0" encoding="utf-8"?>
<formControlPr xmlns="http://schemas.microsoft.com/office/spreadsheetml/2009/9/main" objectType="CheckBox" fmlaLink="'DataSummary(LinkedCells)'!$B$123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2260600</xdr:colOff>
          <xdr:row>0</xdr:row>
          <xdr:rowOff>165100</xdr:rowOff>
        </xdr:from>
        <xdr:to>
          <xdr:col>2</xdr:col>
          <xdr:colOff>127000</xdr:colOff>
          <xdr:row>2</xdr:row>
          <xdr:rowOff>12700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Mock loop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2247900</xdr:colOff>
          <xdr:row>1</xdr:row>
          <xdr:rowOff>165100</xdr:rowOff>
        </xdr:from>
        <xdr:to>
          <xdr:col>3</xdr:col>
          <xdr:colOff>88900</xdr:colOff>
          <xdr:row>2</xdr:row>
          <xdr:rowOff>184150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Hybrid simulator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2241550</xdr:colOff>
          <xdr:row>2</xdr:row>
          <xdr:rowOff>184150</xdr:rowOff>
        </xdr:from>
        <xdr:to>
          <xdr:col>3</xdr:col>
          <xdr:colOff>76200</xdr:colOff>
          <xdr:row>4</xdr:row>
          <xdr:rowOff>12700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171450</xdr:rowOff>
        </xdr:from>
        <xdr:to>
          <xdr:col>3</xdr:col>
          <xdr:colOff>107950</xdr:colOff>
          <xdr:row>6</xdr:row>
          <xdr:rowOff>184150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0D model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171450</xdr:rowOff>
        </xdr:from>
        <xdr:to>
          <xdr:col>3</xdr:col>
          <xdr:colOff>590550</xdr:colOff>
          <xdr:row>7</xdr:row>
          <xdr:rowOff>184150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0D model combined with higher order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171450</xdr:rowOff>
        </xdr:from>
        <xdr:to>
          <xdr:col>3</xdr:col>
          <xdr:colOff>107950</xdr:colOff>
          <xdr:row>8</xdr:row>
          <xdr:rowOff>184150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Open loop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171450</xdr:rowOff>
        </xdr:from>
        <xdr:to>
          <xdr:col>3</xdr:col>
          <xdr:colOff>107950</xdr:colOff>
          <xdr:row>9</xdr:row>
          <xdr:rowOff>184150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Closed loop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171450</xdr:rowOff>
        </xdr:from>
        <xdr:to>
          <xdr:col>3</xdr:col>
          <xdr:colOff>393700</xdr:colOff>
          <xdr:row>10</xdr:row>
          <xdr:rowOff>184150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Time varying elastance for atria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171450</xdr:rowOff>
        </xdr:from>
        <xdr:to>
          <xdr:col>4</xdr:col>
          <xdr:colOff>88900</xdr:colOff>
          <xdr:row>12</xdr:row>
          <xdr:rowOff>12700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Time varying elastance for ventricles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2260600</xdr:colOff>
          <xdr:row>13</xdr:row>
          <xdr:rowOff>184150</xdr:rowOff>
        </xdr:from>
        <xdr:to>
          <xdr:col>4</xdr:col>
          <xdr:colOff>88900</xdr:colOff>
          <xdr:row>15</xdr:row>
          <xdr:rowOff>12700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Left ventricle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2247900</xdr:colOff>
          <xdr:row>14</xdr:row>
          <xdr:rowOff>165100</xdr:rowOff>
        </xdr:from>
        <xdr:to>
          <xdr:col>4</xdr:col>
          <xdr:colOff>76200</xdr:colOff>
          <xdr:row>16</xdr:row>
          <xdr:rowOff>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Left atrium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2247900</xdr:colOff>
          <xdr:row>15</xdr:row>
          <xdr:rowOff>152400</xdr:rowOff>
        </xdr:from>
        <xdr:to>
          <xdr:col>4</xdr:col>
          <xdr:colOff>76200</xdr:colOff>
          <xdr:row>16</xdr:row>
          <xdr:rowOff>184150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Right ventricle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2241550</xdr:colOff>
          <xdr:row>16</xdr:row>
          <xdr:rowOff>165100</xdr:rowOff>
        </xdr:from>
        <xdr:to>
          <xdr:col>4</xdr:col>
          <xdr:colOff>69850</xdr:colOff>
          <xdr:row>18</xdr:row>
          <xdr:rowOff>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Right atrium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2260600</xdr:colOff>
          <xdr:row>20</xdr:row>
          <xdr:rowOff>184150</xdr:rowOff>
        </xdr:from>
        <xdr:to>
          <xdr:col>4</xdr:col>
          <xdr:colOff>88900</xdr:colOff>
          <xdr:row>22</xdr:row>
          <xdr:rowOff>12700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Systemic circulation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2241550</xdr:colOff>
          <xdr:row>24</xdr:row>
          <xdr:rowOff>171450</xdr:rowOff>
        </xdr:from>
        <xdr:to>
          <xdr:col>4</xdr:col>
          <xdr:colOff>69850</xdr:colOff>
          <xdr:row>26</xdr:row>
          <xdr:rowOff>12700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Aorta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2228850</xdr:colOff>
          <xdr:row>25</xdr:row>
          <xdr:rowOff>171450</xdr:rowOff>
        </xdr:from>
        <xdr:to>
          <xdr:col>4</xdr:col>
          <xdr:colOff>57150</xdr:colOff>
          <xdr:row>27</xdr:row>
          <xdr:rowOff>12700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Venous systemic circulation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603250</xdr:colOff>
          <xdr:row>21</xdr:row>
          <xdr:rowOff>171450</xdr:rowOff>
        </xdr:from>
        <xdr:to>
          <xdr:col>5</xdr:col>
          <xdr:colOff>88900</xdr:colOff>
          <xdr:row>23</xdr:row>
          <xdr:rowOff>12700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Arterial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603250</xdr:colOff>
          <xdr:row>22</xdr:row>
          <xdr:rowOff>184150</xdr:rowOff>
        </xdr:from>
        <xdr:to>
          <xdr:col>5</xdr:col>
          <xdr:colOff>76200</xdr:colOff>
          <xdr:row>24</xdr:row>
          <xdr:rowOff>12700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Venous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603250</xdr:colOff>
          <xdr:row>24</xdr:row>
          <xdr:rowOff>31750</xdr:rowOff>
        </xdr:from>
        <xdr:to>
          <xdr:col>6</xdr:col>
          <xdr:colOff>546100</xdr:colOff>
          <xdr:row>24</xdr:row>
          <xdr:rowOff>146050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Arterial and venous mixed in one compartment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2228850</xdr:colOff>
          <xdr:row>26</xdr:row>
          <xdr:rowOff>152400</xdr:rowOff>
        </xdr:from>
        <xdr:to>
          <xdr:col>4</xdr:col>
          <xdr:colOff>57150</xdr:colOff>
          <xdr:row>27</xdr:row>
          <xdr:rowOff>184150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Pulmonary circulation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2222500</xdr:colOff>
          <xdr:row>27</xdr:row>
          <xdr:rowOff>165100</xdr:rowOff>
        </xdr:from>
        <xdr:to>
          <xdr:col>4</xdr:col>
          <xdr:colOff>57150</xdr:colOff>
          <xdr:row>29</xdr:row>
          <xdr:rowOff>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Coronary circulation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2222500</xdr:colOff>
          <xdr:row>28</xdr:row>
          <xdr:rowOff>165100</xdr:rowOff>
        </xdr:from>
        <xdr:to>
          <xdr:col>3</xdr:col>
          <xdr:colOff>38100</xdr:colOff>
          <xdr:row>30</xdr:row>
          <xdr:rowOff>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Cerebral circulation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2222500</xdr:colOff>
          <xdr:row>30</xdr:row>
          <xdr:rowOff>184150</xdr:rowOff>
        </xdr:from>
        <xdr:to>
          <xdr:col>2</xdr:col>
          <xdr:colOff>127000</xdr:colOff>
          <xdr:row>31</xdr:row>
          <xdr:rowOff>165100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Valves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31</xdr:row>
          <xdr:rowOff>127000</xdr:rowOff>
        </xdr:from>
        <xdr:to>
          <xdr:col>3</xdr:col>
          <xdr:colOff>298450</xdr:colOff>
          <xdr:row>32</xdr:row>
          <xdr:rowOff>184150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Aortic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32</xdr:row>
          <xdr:rowOff>146050</xdr:rowOff>
        </xdr:from>
        <xdr:to>
          <xdr:col>3</xdr:col>
          <xdr:colOff>298450</xdr:colOff>
          <xdr:row>33</xdr:row>
          <xdr:rowOff>184150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Mitral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165100</xdr:rowOff>
        </xdr:from>
        <xdr:to>
          <xdr:col>3</xdr:col>
          <xdr:colOff>285750</xdr:colOff>
          <xdr:row>35</xdr:row>
          <xdr:rowOff>19050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Pulmonary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184150</xdr:rowOff>
        </xdr:from>
        <xdr:to>
          <xdr:col>3</xdr:col>
          <xdr:colOff>285750</xdr:colOff>
          <xdr:row>36</xdr:row>
          <xdr:rowOff>31750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Tricuspid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</xdr:row>
          <xdr:rowOff>12700</xdr:rowOff>
        </xdr:from>
        <xdr:to>
          <xdr:col>4</xdr:col>
          <xdr:colOff>88900</xdr:colOff>
          <xdr:row>38</xdr:row>
          <xdr:rowOff>31750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Frank starling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2260600</xdr:colOff>
          <xdr:row>38</xdr:row>
          <xdr:rowOff>0</xdr:rowOff>
        </xdr:from>
        <xdr:to>
          <xdr:col>4</xdr:col>
          <xdr:colOff>527050</xdr:colOff>
          <xdr:row>38</xdr:row>
          <xdr:rowOff>184150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Systole/diastole ratio depending on HR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</xdr:row>
          <xdr:rowOff>12700</xdr:rowOff>
        </xdr:from>
        <xdr:to>
          <xdr:col>4</xdr:col>
          <xdr:colOff>88900</xdr:colOff>
          <xdr:row>40</xdr:row>
          <xdr:rowOff>31750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Force/frequency relationship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</xdr:row>
          <xdr:rowOff>184150</xdr:rowOff>
        </xdr:from>
        <xdr:to>
          <xdr:col>4</xdr:col>
          <xdr:colOff>88900</xdr:colOff>
          <xdr:row>41</xdr:row>
          <xdr:rowOff>19050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Non linear vascular compliance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</xdr:row>
          <xdr:rowOff>12700</xdr:rowOff>
        </xdr:from>
        <xdr:to>
          <xdr:col>4</xdr:col>
          <xdr:colOff>88900</xdr:colOff>
          <xdr:row>42</xdr:row>
          <xdr:rowOff>31750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Non linear vascular resistance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12700</xdr:rowOff>
        </xdr:from>
        <xdr:to>
          <xdr:col>4</xdr:col>
          <xdr:colOff>88900</xdr:colOff>
          <xdr:row>43</xdr:row>
          <xdr:rowOff>31750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Venous valves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43</xdr:row>
          <xdr:rowOff>12700</xdr:rowOff>
        </xdr:from>
        <xdr:to>
          <xdr:col>4</xdr:col>
          <xdr:colOff>88900</xdr:colOff>
          <xdr:row>44</xdr:row>
          <xdr:rowOff>31750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Non linear atrial compliance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46</xdr:row>
          <xdr:rowOff>0</xdr:rowOff>
        </xdr:from>
        <xdr:to>
          <xdr:col>4</xdr:col>
          <xdr:colOff>88900</xdr:colOff>
          <xdr:row>47</xdr:row>
          <xdr:rowOff>31750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Non linear ventricular compliance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571500</xdr:colOff>
          <xdr:row>43</xdr:row>
          <xdr:rowOff>184150</xdr:rowOff>
        </xdr:from>
        <xdr:to>
          <xdr:col>5</xdr:col>
          <xdr:colOff>50800</xdr:colOff>
          <xdr:row>45</xdr:row>
          <xdr:rowOff>19050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 atrial systole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603250</xdr:colOff>
          <xdr:row>44</xdr:row>
          <xdr:rowOff>184150</xdr:rowOff>
        </xdr:from>
        <xdr:to>
          <xdr:col>5</xdr:col>
          <xdr:colOff>69850</xdr:colOff>
          <xdr:row>46</xdr:row>
          <xdr:rowOff>19050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 atrial diastole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603250</xdr:colOff>
          <xdr:row>46</xdr:row>
          <xdr:rowOff>165100</xdr:rowOff>
        </xdr:from>
        <xdr:to>
          <xdr:col>5</xdr:col>
          <xdr:colOff>76200</xdr:colOff>
          <xdr:row>48</xdr:row>
          <xdr:rowOff>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 ventricular systole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47</xdr:row>
          <xdr:rowOff>165100</xdr:rowOff>
        </xdr:from>
        <xdr:to>
          <xdr:col>5</xdr:col>
          <xdr:colOff>88900</xdr:colOff>
          <xdr:row>48</xdr:row>
          <xdr:rowOff>184150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 ventricular diastole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2247900</xdr:colOff>
          <xdr:row>48</xdr:row>
          <xdr:rowOff>146050</xdr:rowOff>
        </xdr:from>
        <xdr:to>
          <xdr:col>4</xdr:col>
          <xdr:colOff>76200</xdr:colOff>
          <xdr:row>49</xdr:row>
          <xdr:rowOff>171450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Baroreflex control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2260600</xdr:colOff>
          <xdr:row>49</xdr:row>
          <xdr:rowOff>165100</xdr:rowOff>
        </xdr:from>
        <xdr:to>
          <xdr:col>5</xdr:col>
          <xdr:colOff>412750</xdr:colOff>
          <xdr:row>51</xdr:row>
          <xdr:rowOff>31750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Respiratory mechanics during spontanous breathing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2241550</xdr:colOff>
          <xdr:row>51</xdr:row>
          <xdr:rowOff>31750</xdr:rowOff>
        </xdr:from>
        <xdr:to>
          <xdr:col>6</xdr:col>
          <xdr:colOff>0</xdr:colOff>
          <xdr:row>52</xdr:row>
          <xdr:rowOff>38100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Respiratory mechanics during mechanical ventilation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2241550</xdr:colOff>
          <xdr:row>52</xdr:row>
          <xdr:rowOff>12700</xdr:rowOff>
        </xdr:from>
        <xdr:to>
          <xdr:col>6</xdr:col>
          <xdr:colOff>0</xdr:colOff>
          <xdr:row>53</xdr:row>
          <xdr:rowOff>31750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Heart lung interaction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2247900</xdr:colOff>
          <xdr:row>53</xdr:row>
          <xdr:rowOff>0</xdr:rowOff>
        </xdr:from>
        <xdr:to>
          <xdr:col>6</xdr:col>
          <xdr:colOff>12700</xdr:colOff>
          <xdr:row>54</xdr:row>
          <xdr:rowOff>12700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Suction in the ventircular chamber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2247900</xdr:colOff>
          <xdr:row>53</xdr:row>
          <xdr:rowOff>184150</xdr:rowOff>
        </xdr:from>
        <xdr:to>
          <xdr:col>6</xdr:col>
          <xdr:colOff>12700</xdr:colOff>
          <xdr:row>55</xdr:row>
          <xdr:rowOff>12700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Interventricular septum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2247900</xdr:colOff>
          <xdr:row>55</xdr:row>
          <xdr:rowOff>0</xdr:rowOff>
        </xdr:from>
        <xdr:to>
          <xdr:col>3</xdr:col>
          <xdr:colOff>127000</xdr:colOff>
          <xdr:row>55</xdr:row>
          <xdr:rowOff>184150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Pericardium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2241550</xdr:colOff>
          <xdr:row>55</xdr:row>
          <xdr:rowOff>184150</xdr:rowOff>
        </xdr:from>
        <xdr:to>
          <xdr:col>2</xdr:col>
          <xdr:colOff>469900</xdr:colOff>
          <xdr:row>57</xdr:row>
          <xdr:rowOff>12700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63</xdr:row>
          <xdr:rowOff>184150</xdr:rowOff>
        </xdr:from>
        <xdr:to>
          <xdr:col>2</xdr:col>
          <xdr:colOff>260350</xdr:colOff>
          <xdr:row>65</xdr:row>
          <xdr:rowOff>12700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LVAD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2260600</xdr:colOff>
          <xdr:row>64</xdr:row>
          <xdr:rowOff>184150</xdr:rowOff>
        </xdr:from>
        <xdr:to>
          <xdr:col>2</xdr:col>
          <xdr:colOff>241300</xdr:colOff>
          <xdr:row>66</xdr:row>
          <xdr:rowOff>12700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RVAD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65</xdr:row>
          <xdr:rowOff>184150</xdr:rowOff>
        </xdr:from>
        <xdr:to>
          <xdr:col>2</xdr:col>
          <xdr:colOff>247650</xdr:colOff>
          <xdr:row>67</xdr:row>
          <xdr:rowOff>12700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TAH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67</xdr:row>
          <xdr:rowOff>12700</xdr:rowOff>
        </xdr:from>
        <xdr:to>
          <xdr:col>2</xdr:col>
          <xdr:colOff>247650</xdr:colOff>
          <xdr:row>68</xdr:row>
          <xdr:rowOff>31750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IABP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68</xdr:row>
          <xdr:rowOff>31750</xdr:rowOff>
        </xdr:from>
        <xdr:to>
          <xdr:col>2</xdr:col>
          <xdr:colOff>247650</xdr:colOff>
          <xdr:row>69</xdr:row>
          <xdr:rowOff>50800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ECMO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2260600</xdr:colOff>
          <xdr:row>68</xdr:row>
          <xdr:rowOff>184150</xdr:rowOff>
        </xdr:from>
        <xdr:to>
          <xdr:col>2</xdr:col>
          <xdr:colOff>241300</xdr:colOff>
          <xdr:row>70</xdr:row>
          <xdr:rowOff>12700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Heart valves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60</xdr:row>
          <xdr:rowOff>184150</xdr:rowOff>
        </xdr:from>
        <xdr:to>
          <xdr:col>2</xdr:col>
          <xdr:colOff>260350</xdr:colOff>
          <xdr:row>62</xdr:row>
          <xdr:rowOff>12700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2260600</xdr:colOff>
          <xdr:row>62</xdr:row>
          <xdr:rowOff>12700</xdr:rowOff>
        </xdr:from>
        <xdr:to>
          <xdr:col>2</xdr:col>
          <xdr:colOff>241300</xdr:colOff>
          <xdr:row>63</xdr:row>
          <xdr:rowOff>31750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2222500</xdr:colOff>
          <xdr:row>29</xdr:row>
          <xdr:rowOff>184150</xdr:rowOff>
        </xdr:from>
        <xdr:to>
          <xdr:col>3</xdr:col>
          <xdr:colOff>184150</xdr:colOff>
          <xdr:row>31</xdr:row>
          <xdr:rowOff>12700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Renal circulation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69</xdr:row>
          <xdr:rowOff>184150</xdr:rowOff>
        </xdr:from>
        <xdr:to>
          <xdr:col>3</xdr:col>
          <xdr:colOff>590550</xdr:colOff>
          <xdr:row>71</xdr:row>
          <xdr:rowOff>31750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Percutaneous transvalvular pump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70</xdr:row>
          <xdr:rowOff>184150</xdr:rowOff>
        </xdr:from>
        <xdr:to>
          <xdr:col>4</xdr:col>
          <xdr:colOff>355600</xdr:colOff>
          <xdr:row>71</xdr:row>
          <xdr:rowOff>184150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Cardiac monitoring devices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1</xdr:row>
          <xdr:rowOff>171450</xdr:rowOff>
        </xdr:from>
        <xdr:to>
          <xdr:col>1</xdr:col>
          <xdr:colOff>869950</xdr:colOff>
          <xdr:row>3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Pneumatic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184150</xdr:rowOff>
        </xdr:from>
        <xdr:to>
          <xdr:col>1</xdr:col>
          <xdr:colOff>857250</xdr:colOff>
          <xdr:row>4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Hydraulic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2984500</xdr:colOff>
          <xdr:row>3</xdr:row>
          <xdr:rowOff>171450</xdr:rowOff>
        </xdr:from>
        <xdr:to>
          <xdr:col>1</xdr:col>
          <xdr:colOff>850900</xdr:colOff>
          <xdr:row>5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Pulsatile LVAD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2971800</xdr:colOff>
          <xdr:row>4</xdr:row>
          <xdr:rowOff>171450</xdr:rowOff>
        </xdr:from>
        <xdr:to>
          <xdr:col>1</xdr:col>
          <xdr:colOff>850900</xdr:colOff>
          <xdr:row>6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2965450</xdr:colOff>
          <xdr:row>7</xdr:row>
          <xdr:rowOff>171450</xdr:rowOff>
        </xdr:from>
        <xdr:to>
          <xdr:col>1</xdr:col>
          <xdr:colOff>838200</xdr:colOff>
          <xdr:row>9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Pinch valve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2965450</xdr:colOff>
          <xdr:row>8</xdr:row>
          <xdr:rowOff>127000</xdr:rowOff>
        </xdr:from>
        <xdr:to>
          <xdr:col>2</xdr:col>
          <xdr:colOff>330200</xdr:colOff>
          <xdr:row>10</xdr:row>
          <xdr:rowOff>50800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Computer controlled resistance valve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2952750</xdr:colOff>
          <xdr:row>9</xdr:row>
          <xdr:rowOff>171450</xdr:rowOff>
        </xdr:from>
        <xdr:to>
          <xdr:col>1</xdr:col>
          <xdr:colOff>831850</xdr:colOff>
          <xdr:row>11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Hofman clamp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2965450</xdr:colOff>
          <xdr:row>11</xdr:row>
          <xdr:rowOff>0</xdr:rowOff>
        </xdr:from>
        <xdr:to>
          <xdr:col>1</xdr:col>
          <xdr:colOff>831850</xdr:colOff>
          <xdr:row>12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Electrovalve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2952750</xdr:colOff>
          <xdr:row>11</xdr:row>
          <xdr:rowOff>171450</xdr:rowOff>
        </xdr:from>
        <xdr:to>
          <xdr:col>1</xdr:col>
          <xdr:colOff>1733550</xdr:colOff>
          <xdr:row>13</xdr:row>
          <xdr:rowOff>12700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Linear resistive element (Westerhof)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2984500</xdr:colOff>
          <xdr:row>16</xdr:row>
          <xdr:rowOff>165100</xdr:rowOff>
        </xdr:from>
        <xdr:to>
          <xdr:col>1</xdr:col>
          <xdr:colOff>1098550</xdr:colOff>
          <xdr:row>18</xdr:row>
          <xdr:rowOff>12700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valves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22</xdr:row>
          <xdr:rowOff>69850</xdr:rowOff>
        </xdr:from>
        <xdr:to>
          <xdr:col>1</xdr:col>
          <xdr:colOff>831850</xdr:colOff>
          <xdr:row>23</xdr:row>
          <xdr:rowOff>88900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2946400</xdr:colOff>
          <xdr:row>24</xdr:row>
          <xdr:rowOff>184150</xdr:rowOff>
        </xdr:from>
        <xdr:to>
          <xdr:col>2</xdr:col>
          <xdr:colOff>292100</xdr:colOff>
          <xdr:row>26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Hydraulic chamber with compressed air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2952750</xdr:colOff>
          <xdr:row>25</xdr:row>
          <xdr:rowOff>184150</xdr:rowOff>
        </xdr:from>
        <xdr:to>
          <xdr:col>2</xdr:col>
          <xdr:colOff>304800</xdr:colOff>
          <xdr:row>27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Hydraulic chamber with spring element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2952750</xdr:colOff>
          <xdr:row>26</xdr:row>
          <xdr:rowOff>184150</xdr:rowOff>
        </xdr:from>
        <xdr:to>
          <xdr:col>2</xdr:col>
          <xdr:colOff>304800</xdr:colOff>
          <xdr:row>28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Hydraulic chamber with elastic membrane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12700</xdr:rowOff>
        </xdr:from>
        <xdr:to>
          <xdr:col>1</xdr:col>
          <xdr:colOff>1098550</xdr:colOff>
          <xdr:row>19</xdr:row>
          <xdr:rowOff>38100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Mechanical bileaflet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12700</xdr:rowOff>
        </xdr:from>
        <xdr:to>
          <xdr:col>1</xdr:col>
          <xdr:colOff>1098550</xdr:colOff>
          <xdr:row>20</xdr:row>
          <xdr:rowOff>50800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Polymeric  valve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12700</xdr:rowOff>
        </xdr:from>
        <xdr:to>
          <xdr:col>1</xdr:col>
          <xdr:colOff>1098550</xdr:colOff>
          <xdr:row>21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Disc  valve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21</xdr:row>
          <xdr:rowOff>50800</xdr:rowOff>
        </xdr:from>
        <xdr:to>
          <xdr:col>1</xdr:col>
          <xdr:colOff>1104900</xdr:colOff>
          <xdr:row>22</xdr:row>
          <xdr:rowOff>88900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Ball valve </a:t>
              </a:r>
            </a:p>
          </xdr:txBody>
        </xdr:sp>
        <xdr:clientData/>
      </xdr:twoCellAnchor>
    </mc:Choice>
    <mc:Fallback/>
  </mc:AlternateContent>
  <xdr:twoCellAnchor editAs="oneCell">
    <xdr:from>
      <xdr:col>13</xdr:col>
      <xdr:colOff>520702</xdr:colOff>
      <xdr:row>34</xdr:row>
      <xdr:rowOff>9523</xdr:rowOff>
    </xdr:from>
    <xdr:to>
      <xdr:col>27</xdr:col>
      <xdr:colOff>496890</xdr:colOff>
      <xdr:row>64</xdr:row>
      <xdr:rowOff>57153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3535B8-5185-FE0E-3793-94A9A06FB2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92" t="15425" r="12137"/>
        <a:stretch>
          <a:fillRect/>
        </a:stretch>
      </xdr:blipFill>
      <xdr:spPr>
        <a:xfrm rot="16200000">
          <a:off x="13658056" y="4683919"/>
          <a:ext cx="5476880" cy="8510588"/>
        </a:xfrm>
        <a:prstGeom prst="rect">
          <a:avLst/>
        </a:prstGeom>
      </xdr:spPr>
    </xdr:pic>
    <xdr:clientData/>
  </xdr:twoCellAnchor>
  <xdr:twoCellAnchor>
    <xdr:from>
      <xdr:col>20</xdr:col>
      <xdr:colOff>187325</xdr:colOff>
      <xdr:row>36</xdr:row>
      <xdr:rowOff>9525</xdr:rowOff>
    </xdr:from>
    <xdr:to>
      <xdr:col>21</xdr:col>
      <xdr:colOff>104775</xdr:colOff>
      <xdr:row>38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CC2DB94-3639-5DB0-4442-5DBFC20DE078}"/>
            </a:ext>
          </a:extLst>
        </xdr:cNvPr>
        <xdr:cNvSpPr/>
      </xdr:nvSpPr>
      <xdr:spPr>
        <a:xfrm>
          <a:off x="16075025" y="6562725"/>
          <a:ext cx="527050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1</a:t>
          </a:r>
        </a:p>
      </xdr:txBody>
    </xdr:sp>
    <xdr:clientData/>
  </xdr:twoCellAnchor>
  <xdr:twoCellAnchor>
    <xdr:from>
      <xdr:col>17</xdr:col>
      <xdr:colOff>273050</xdr:colOff>
      <xdr:row>53</xdr:row>
      <xdr:rowOff>57150</xdr:rowOff>
    </xdr:from>
    <xdr:to>
      <xdr:col>18</xdr:col>
      <xdr:colOff>53975</xdr:colOff>
      <xdr:row>54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D7862D7-7400-462D-A0F5-4DC17514EA80}"/>
            </a:ext>
          </a:extLst>
        </xdr:cNvPr>
        <xdr:cNvSpPr/>
      </xdr:nvSpPr>
      <xdr:spPr>
        <a:xfrm>
          <a:off x="14331950" y="9144000"/>
          <a:ext cx="390525" cy="257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2</a:t>
          </a:r>
        </a:p>
      </xdr:txBody>
    </xdr:sp>
    <xdr:clientData/>
  </xdr:twoCellAnchor>
  <xdr:twoCellAnchor>
    <xdr:from>
      <xdr:col>14</xdr:col>
      <xdr:colOff>190500</xdr:colOff>
      <xdr:row>56</xdr:row>
      <xdr:rowOff>152400</xdr:rowOff>
    </xdr:from>
    <xdr:to>
      <xdr:col>14</xdr:col>
      <xdr:colOff>571500</xdr:colOff>
      <xdr:row>58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48B6AA2-26F2-434A-8700-B24F97391C7E}"/>
            </a:ext>
          </a:extLst>
        </xdr:cNvPr>
        <xdr:cNvSpPr/>
      </xdr:nvSpPr>
      <xdr:spPr>
        <a:xfrm>
          <a:off x="12420600" y="9782175"/>
          <a:ext cx="381000" cy="257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3</a:t>
          </a:r>
        </a:p>
      </xdr:txBody>
    </xdr:sp>
    <xdr:clientData/>
  </xdr:twoCellAnchor>
  <xdr:twoCellAnchor>
    <xdr:from>
      <xdr:col>14</xdr:col>
      <xdr:colOff>254000</xdr:colOff>
      <xdr:row>61</xdr:row>
      <xdr:rowOff>142875</xdr:rowOff>
    </xdr:from>
    <xdr:to>
      <xdr:col>15</xdr:col>
      <xdr:colOff>25400</xdr:colOff>
      <xdr:row>63</xdr:row>
      <xdr:rowOff>34925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98064C9-6576-4D62-91EB-D17253ED7A25}"/>
            </a:ext>
          </a:extLst>
        </xdr:cNvPr>
        <xdr:cNvSpPr/>
      </xdr:nvSpPr>
      <xdr:spPr>
        <a:xfrm>
          <a:off x="12484100" y="11220450"/>
          <a:ext cx="381000" cy="25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4</a:t>
          </a:r>
        </a:p>
      </xdr:txBody>
    </xdr:sp>
    <xdr:clientData/>
  </xdr:twoCellAnchor>
  <xdr:twoCellAnchor>
    <xdr:from>
      <xdr:col>18</xdr:col>
      <xdr:colOff>161925</xdr:colOff>
      <xdr:row>59</xdr:row>
      <xdr:rowOff>19050</xdr:rowOff>
    </xdr:from>
    <xdr:to>
      <xdr:col>18</xdr:col>
      <xdr:colOff>542925</xdr:colOff>
      <xdr:row>60</xdr:row>
      <xdr:rowOff>82550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C95667E-A3DD-4396-86EA-216D6AB94247}"/>
            </a:ext>
          </a:extLst>
        </xdr:cNvPr>
        <xdr:cNvSpPr/>
      </xdr:nvSpPr>
      <xdr:spPr>
        <a:xfrm>
          <a:off x="14830425" y="10734675"/>
          <a:ext cx="381000" cy="244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5</a:t>
          </a:r>
        </a:p>
      </xdr:txBody>
    </xdr:sp>
    <xdr:clientData/>
  </xdr:twoCellAnchor>
  <xdr:twoCellAnchor>
    <xdr:from>
      <xdr:col>17</xdr:col>
      <xdr:colOff>457200</xdr:colOff>
      <xdr:row>56</xdr:row>
      <xdr:rowOff>25400</xdr:rowOff>
    </xdr:from>
    <xdr:to>
      <xdr:col>18</xdr:col>
      <xdr:colOff>228600</xdr:colOff>
      <xdr:row>57</xdr:row>
      <xdr:rowOff>92075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8B363C7-2CF7-4D63-8C95-1E1BC3300D85}"/>
            </a:ext>
          </a:extLst>
        </xdr:cNvPr>
        <xdr:cNvSpPr/>
      </xdr:nvSpPr>
      <xdr:spPr>
        <a:xfrm>
          <a:off x="14516100" y="9655175"/>
          <a:ext cx="381000" cy="247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6</a:t>
          </a:r>
        </a:p>
      </xdr:txBody>
    </xdr:sp>
    <xdr:clientData/>
  </xdr:twoCellAnchor>
  <xdr:twoCellAnchor>
    <xdr:from>
      <xdr:col>19</xdr:col>
      <xdr:colOff>82550</xdr:colOff>
      <xdr:row>54</xdr:row>
      <xdr:rowOff>38100</xdr:rowOff>
    </xdr:from>
    <xdr:to>
      <xdr:col>19</xdr:col>
      <xdr:colOff>463550</xdr:colOff>
      <xdr:row>55</xdr:row>
      <xdr:rowOff>92075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03D096-0FAD-49AB-A44D-A2C12AF1D611}"/>
            </a:ext>
          </a:extLst>
        </xdr:cNvPr>
        <xdr:cNvSpPr/>
      </xdr:nvSpPr>
      <xdr:spPr>
        <a:xfrm>
          <a:off x="15360650" y="9848850"/>
          <a:ext cx="381000" cy="234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7</a:t>
          </a:r>
        </a:p>
      </xdr:txBody>
    </xdr:sp>
    <xdr:clientData/>
  </xdr:twoCellAnchor>
  <xdr:twoCellAnchor>
    <xdr:from>
      <xdr:col>20</xdr:col>
      <xdr:colOff>225425</xdr:colOff>
      <xdr:row>52</xdr:row>
      <xdr:rowOff>168275</xdr:rowOff>
    </xdr:from>
    <xdr:to>
      <xdr:col>20</xdr:col>
      <xdr:colOff>606425</xdr:colOff>
      <xdr:row>54</xdr:row>
      <xdr:rowOff>44450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BBAC12D-5AB4-422B-9878-B8196BE8E8D5}"/>
            </a:ext>
          </a:extLst>
        </xdr:cNvPr>
        <xdr:cNvSpPr/>
      </xdr:nvSpPr>
      <xdr:spPr>
        <a:xfrm>
          <a:off x="16113125" y="9617075"/>
          <a:ext cx="381000" cy="238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9</a:t>
          </a:r>
        </a:p>
      </xdr:txBody>
    </xdr:sp>
    <xdr:clientData/>
  </xdr:twoCellAnchor>
  <xdr:twoCellAnchor>
    <xdr:from>
      <xdr:col>24</xdr:col>
      <xdr:colOff>263525</xdr:colOff>
      <xdr:row>53</xdr:row>
      <xdr:rowOff>123825</xdr:rowOff>
    </xdr:from>
    <xdr:to>
      <xdr:col>25</xdr:col>
      <xdr:colOff>276225</xdr:colOff>
      <xdr:row>55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DDB5B24-7454-47A5-932C-65ECD05628F4}"/>
            </a:ext>
          </a:extLst>
        </xdr:cNvPr>
        <xdr:cNvSpPr/>
      </xdr:nvSpPr>
      <xdr:spPr>
        <a:xfrm>
          <a:off x="18589625" y="9572625"/>
          <a:ext cx="622300" cy="238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10</a:t>
          </a:r>
        </a:p>
      </xdr:txBody>
    </xdr:sp>
    <xdr:clientData/>
  </xdr:twoCellAnchor>
  <xdr:twoCellAnchor>
    <xdr:from>
      <xdr:col>19</xdr:col>
      <xdr:colOff>339725</xdr:colOff>
      <xdr:row>57</xdr:row>
      <xdr:rowOff>28575</xdr:rowOff>
    </xdr:from>
    <xdr:to>
      <xdr:col>20</xdr:col>
      <xdr:colOff>111125</xdr:colOff>
      <xdr:row>58</xdr:row>
      <xdr:rowOff>82550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CC0E179-FB59-43E9-A7F4-7220ADF5EEED}"/>
            </a:ext>
          </a:extLst>
        </xdr:cNvPr>
        <xdr:cNvSpPr/>
      </xdr:nvSpPr>
      <xdr:spPr>
        <a:xfrm>
          <a:off x="15617825" y="10382250"/>
          <a:ext cx="381000" cy="234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8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1968501</xdr:colOff>
      <xdr:row>33</xdr:row>
      <xdr:rowOff>6350</xdr:rowOff>
    </xdr:from>
    <xdr:to>
      <xdr:col>7</xdr:col>
      <xdr:colOff>544514</xdr:colOff>
      <xdr:row>63</xdr:row>
      <xdr:rowOff>57155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9C34F-187F-49C8-809A-AD4AE443C1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92" t="15425" r="12137"/>
        <a:stretch>
          <a:fillRect/>
        </a:stretch>
      </xdr:blipFill>
      <xdr:spPr>
        <a:xfrm rot="16200000">
          <a:off x="7425530" y="4464846"/>
          <a:ext cx="5480055" cy="8507413"/>
        </a:xfrm>
        <a:prstGeom prst="rect">
          <a:avLst/>
        </a:prstGeom>
      </xdr:spPr>
    </xdr:pic>
    <xdr:clientData/>
  </xdr:twoCellAnchor>
  <xdr:twoCellAnchor>
    <xdr:from>
      <xdr:col>2</xdr:col>
      <xdr:colOff>3076576</xdr:colOff>
      <xdr:row>54</xdr:row>
      <xdr:rowOff>76200</xdr:rowOff>
    </xdr:from>
    <xdr:to>
      <xdr:col>3</xdr:col>
      <xdr:colOff>304801</xdr:colOff>
      <xdr:row>57</xdr:row>
      <xdr:rowOff>44450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E534B8F-61E4-401C-A3FB-B87B232ADBB0}"/>
            </a:ext>
          </a:extLst>
        </xdr:cNvPr>
        <xdr:cNvSpPr/>
      </xdr:nvSpPr>
      <xdr:spPr>
        <a:xfrm>
          <a:off x="10439401" y="9848850"/>
          <a:ext cx="523875" cy="511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6</a:t>
          </a:r>
        </a:p>
      </xdr:txBody>
    </xdr:sp>
    <xdr:clientData/>
  </xdr:twoCellAnchor>
  <xdr:twoCellAnchor>
    <xdr:from>
      <xdr:col>2</xdr:col>
      <xdr:colOff>1571626</xdr:colOff>
      <xdr:row>56</xdr:row>
      <xdr:rowOff>66675</xdr:rowOff>
    </xdr:from>
    <xdr:to>
      <xdr:col>2</xdr:col>
      <xdr:colOff>2092326</xdr:colOff>
      <xdr:row>59</xdr:row>
      <xdr:rowOff>28575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0D0B9D-2871-45D8-A814-9249F3E291B3}"/>
            </a:ext>
          </a:extLst>
        </xdr:cNvPr>
        <xdr:cNvSpPr/>
      </xdr:nvSpPr>
      <xdr:spPr>
        <a:xfrm>
          <a:off x="8934451" y="10201275"/>
          <a:ext cx="520700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5</a:t>
          </a:r>
        </a:p>
      </xdr:txBody>
    </xdr:sp>
    <xdr:clientData/>
  </xdr:twoCellAnchor>
  <xdr:twoCellAnchor>
    <xdr:from>
      <xdr:col>1</xdr:col>
      <xdr:colOff>2838451</xdr:colOff>
      <xdr:row>58</xdr:row>
      <xdr:rowOff>104775</xdr:rowOff>
    </xdr:from>
    <xdr:to>
      <xdr:col>1</xdr:col>
      <xdr:colOff>3359151</xdr:colOff>
      <xdr:row>61</xdr:row>
      <xdr:rowOff>66675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FB0AA2D-F5A0-4375-AE75-2271FD109345}"/>
            </a:ext>
          </a:extLst>
        </xdr:cNvPr>
        <xdr:cNvSpPr/>
      </xdr:nvSpPr>
      <xdr:spPr>
        <a:xfrm>
          <a:off x="6781801" y="10601325"/>
          <a:ext cx="520700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4</a:t>
          </a:r>
        </a:p>
      </xdr:txBody>
    </xdr:sp>
    <xdr:clientData/>
  </xdr:twoCellAnchor>
  <xdr:twoCellAnchor>
    <xdr:from>
      <xdr:col>1</xdr:col>
      <xdr:colOff>2105026</xdr:colOff>
      <xdr:row>53</xdr:row>
      <xdr:rowOff>28575</xdr:rowOff>
    </xdr:from>
    <xdr:to>
      <xdr:col>1</xdr:col>
      <xdr:colOff>2625726</xdr:colOff>
      <xdr:row>55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1A0B5D4-4DC2-418D-B66D-B184FA8C403B}"/>
            </a:ext>
          </a:extLst>
        </xdr:cNvPr>
        <xdr:cNvSpPr/>
      </xdr:nvSpPr>
      <xdr:spPr>
        <a:xfrm>
          <a:off x="6048376" y="9620250"/>
          <a:ext cx="520700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3</a:t>
          </a:r>
        </a:p>
      </xdr:txBody>
    </xdr:sp>
    <xdr:clientData/>
  </xdr:twoCellAnchor>
  <xdr:twoCellAnchor>
    <xdr:from>
      <xdr:col>2</xdr:col>
      <xdr:colOff>800101</xdr:colOff>
      <xdr:row>49</xdr:row>
      <xdr:rowOff>123825</xdr:rowOff>
    </xdr:from>
    <xdr:to>
      <xdr:col>2</xdr:col>
      <xdr:colOff>1320801</xdr:colOff>
      <xdr:row>52</xdr:row>
      <xdr:rowOff>85725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9AB944D-5BC3-42DB-A37B-666E01164A9C}"/>
            </a:ext>
          </a:extLst>
        </xdr:cNvPr>
        <xdr:cNvSpPr/>
      </xdr:nvSpPr>
      <xdr:spPr>
        <a:xfrm>
          <a:off x="8162926" y="8991600"/>
          <a:ext cx="520700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2</a:t>
          </a:r>
        </a:p>
      </xdr:txBody>
    </xdr:sp>
    <xdr:clientData/>
  </xdr:twoCellAnchor>
  <xdr:twoCellAnchor>
    <xdr:from>
      <xdr:col>2</xdr:col>
      <xdr:colOff>1444626</xdr:colOff>
      <xdr:row>43</xdr:row>
      <xdr:rowOff>47625</xdr:rowOff>
    </xdr:from>
    <xdr:to>
      <xdr:col>2</xdr:col>
      <xdr:colOff>1978026</xdr:colOff>
      <xdr:row>46</xdr:row>
      <xdr:rowOff>15875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F231030-C3B1-4BC5-8914-E896AC648700}"/>
            </a:ext>
          </a:extLst>
        </xdr:cNvPr>
        <xdr:cNvSpPr/>
      </xdr:nvSpPr>
      <xdr:spPr>
        <a:xfrm>
          <a:off x="8807451" y="7829550"/>
          <a:ext cx="533400" cy="511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1</a:t>
          </a:r>
        </a:p>
      </xdr:txBody>
    </xdr:sp>
    <xdr:clientData/>
  </xdr:twoCellAnchor>
  <xdr:twoCellAnchor editAs="oneCell">
    <xdr:from>
      <xdr:col>9</xdr:col>
      <xdr:colOff>2</xdr:colOff>
      <xdr:row>33</xdr:row>
      <xdr:rowOff>19050</xdr:rowOff>
    </xdr:from>
    <xdr:to>
      <xdr:col>20</xdr:col>
      <xdr:colOff>30165</xdr:colOff>
      <xdr:row>63</xdr:row>
      <xdr:rowOff>66680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4F0038-C27E-4E80-9EAD-B68CBFEAC5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92" t="15425" r="12137"/>
        <a:stretch>
          <a:fillRect/>
        </a:stretch>
      </xdr:blipFill>
      <xdr:spPr>
        <a:xfrm rot="16200000">
          <a:off x="17641094" y="4475958"/>
          <a:ext cx="5476880" cy="8507413"/>
        </a:xfrm>
        <a:prstGeom prst="rect">
          <a:avLst/>
        </a:prstGeom>
      </xdr:spPr>
    </xdr:pic>
    <xdr:clientData/>
  </xdr:twoCellAnchor>
  <xdr:twoCellAnchor>
    <xdr:from>
      <xdr:col>1</xdr:col>
      <xdr:colOff>2152650</xdr:colOff>
      <xdr:row>33</xdr:row>
      <xdr:rowOff>133350</xdr:rowOff>
    </xdr:from>
    <xdr:to>
      <xdr:col>2</xdr:col>
      <xdr:colOff>895350</xdr:colOff>
      <xdr:row>36</xdr:row>
      <xdr:rowOff>92075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38EC18F-C382-8AB6-F0BC-CBB9AC448BF8}"/>
            </a:ext>
          </a:extLst>
        </xdr:cNvPr>
        <xdr:cNvSpPr/>
      </xdr:nvSpPr>
      <xdr:spPr>
        <a:xfrm>
          <a:off x="6096000" y="6105525"/>
          <a:ext cx="2162175" cy="501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Pressure Sensors</a:t>
          </a:r>
        </a:p>
      </xdr:txBody>
    </xdr:sp>
    <xdr:clientData/>
  </xdr:twoCellAnchor>
  <xdr:twoCellAnchor>
    <xdr:from>
      <xdr:col>9</xdr:col>
      <xdr:colOff>133350</xdr:colOff>
      <xdr:row>33</xdr:row>
      <xdr:rowOff>168275</xdr:rowOff>
    </xdr:from>
    <xdr:to>
      <xdr:col>10</xdr:col>
      <xdr:colOff>590550</xdr:colOff>
      <xdr:row>36</xdr:row>
      <xdr:rowOff>133350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E303F30-8CB9-4753-BE7F-79BC350E68DD}"/>
            </a:ext>
          </a:extLst>
        </xdr:cNvPr>
        <xdr:cNvSpPr/>
      </xdr:nvSpPr>
      <xdr:spPr>
        <a:xfrm>
          <a:off x="16259175" y="6140450"/>
          <a:ext cx="2162175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Flow Sensors</a:t>
          </a:r>
        </a:p>
      </xdr:txBody>
    </xdr:sp>
    <xdr:clientData/>
  </xdr:twoCellAnchor>
  <xdr:twoCellAnchor>
    <xdr:from>
      <xdr:col>12</xdr:col>
      <xdr:colOff>558801</xdr:colOff>
      <xdr:row>33</xdr:row>
      <xdr:rowOff>111125</xdr:rowOff>
    </xdr:from>
    <xdr:to>
      <xdr:col>13</xdr:col>
      <xdr:colOff>482601</xdr:colOff>
      <xdr:row>36</xdr:row>
      <xdr:rowOff>85725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AF55040-BB6C-4338-B4B4-FE1D4C29B14C}"/>
            </a:ext>
          </a:extLst>
        </xdr:cNvPr>
        <xdr:cNvSpPr/>
      </xdr:nvSpPr>
      <xdr:spPr>
        <a:xfrm>
          <a:off x="20285076" y="6083300"/>
          <a:ext cx="533400" cy="517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1</a:t>
          </a:r>
        </a:p>
      </xdr:txBody>
    </xdr:sp>
    <xdr:clientData/>
  </xdr:twoCellAnchor>
  <xdr:twoCellAnchor>
    <xdr:from>
      <xdr:col>14</xdr:col>
      <xdr:colOff>152401</xdr:colOff>
      <xdr:row>49</xdr:row>
      <xdr:rowOff>177800</xdr:rowOff>
    </xdr:from>
    <xdr:to>
      <xdr:col>15</xdr:col>
      <xdr:colOff>76201</xdr:colOff>
      <xdr:row>52</xdr:row>
      <xdr:rowOff>152400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2B4B59C-0881-466D-B9F9-BBFE2C94CAC0}"/>
            </a:ext>
          </a:extLst>
        </xdr:cNvPr>
        <xdr:cNvSpPr/>
      </xdr:nvSpPr>
      <xdr:spPr>
        <a:xfrm>
          <a:off x="21097876" y="9045575"/>
          <a:ext cx="533400" cy="517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3</a:t>
          </a:r>
        </a:p>
      </xdr:txBody>
    </xdr:sp>
    <xdr:clientData/>
  </xdr:twoCellAnchor>
  <xdr:twoCellAnchor>
    <xdr:from>
      <xdr:col>9</xdr:col>
      <xdr:colOff>1511301</xdr:colOff>
      <xdr:row>57</xdr:row>
      <xdr:rowOff>15875</xdr:rowOff>
    </xdr:from>
    <xdr:to>
      <xdr:col>10</xdr:col>
      <xdr:colOff>342901</xdr:colOff>
      <xdr:row>59</xdr:row>
      <xdr:rowOff>168275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8A59663-9624-484C-91CA-ED1FBED27FF7}"/>
            </a:ext>
          </a:extLst>
        </xdr:cNvPr>
        <xdr:cNvSpPr/>
      </xdr:nvSpPr>
      <xdr:spPr>
        <a:xfrm>
          <a:off x="17637126" y="10331450"/>
          <a:ext cx="536575" cy="514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2</a:t>
          </a:r>
        </a:p>
      </xdr:txBody>
    </xdr:sp>
    <xdr:clientData/>
  </xdr:twoCellAnchor>
  <xdr:twoCellAnchor editAs="oneCell">
    <xdr:from>
      <xdr:col>0</xdr:col>
      <xdr:colOff>530225</xdr:colOff>
      <xdr:row>35</xdr:row>
      <xdr:rowOff>101600</xdr:rowOff>
    </xdr:from>
    <xdr:to>
      <xdr:col>1</xdr:col>
      <xdr:colOff>781049</xdr:colOff>
      <xdr:row>64</xdr:row>
      <xdr:rowOff>44450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1A5171A-D678-478A-52B9-75D25AE3CD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72" t="33967" r="23832" b="14433"/>
        <a:stretch>
          <a:fillRect/>
        </a:stretch>
      </xdr:blipFill>
      <xdr:spPr>
        <a:xfrm>
          <a:off x="530225" y="6435725"/>
          <a:ext cx="4194174" cy="5191125"/>
        </a:xfrm>
        <a:prstGeom prst="rect">
          <a:avLst/>
        </a:prstGeom>
      </xdr:spPr>
    </xdr:pic>
    <xdr:clientData/>
  </xdr:twoCellAnchor>
  <xdr:twoCellAnchor>
    <xdr:from>
      <xdr:col>0</xdr:col>
      <xdr:colOff>1409700</xdr:colOff>
      <xdr:row>32</xdr:row>
      <xdr:rowOff>111125</xdr:rowOff>
    </xdr:from>
    <xdr:to>
      <xdr:col>0</xdr:col>
      <xdr:colOff>3571875</xdr:colOff>
      <xdr:row>35</xdr:row>
      <xdr:rowOff>76200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FEE7FF1-D56E-45A0-8403-39E24B100A46}"/>
            </a:ext>
          </a:extLst>
        </xdr:cNvPr>
        <xdr:cNvSpPr/>
      </xdr:nvSpPr>
      <xdr:spPr>
        <a:xfrm>
          <a:off x="1409700" y="5902325"/>
          <a:ext cx="2162175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DAQ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</xdr:row>
          <xdr:rowOff>12700</xdr:rowOff>
        </xdr:from>
        <xdr:to>
          <xdr:col>2</xdr:col>
          <xdr:colOff>508000</xdr:colOff>
          <xdr:row>7</xdr:row>
          <xdr:rowOff>31750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3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Cardiac output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</xdr:row>
          <xdr:rowOff>171450</xdr:rowOff>
        </xdr:from>
        <xdr:to>
          <xdr:col>3</xdr:col>
          <xdr:colOff>279400</xdr:colOff>
          <xdr:row>6</xdr:row>
          <xdr:rowOff>19050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3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Left ventricular pressure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495300</xdr:colOff>
          <xdr:row>55</xdr:row>
          <xdr:rowOff>184150</xdr:rowOff>
        </xdr:from>
        <xdr:to>
          <xdr:col>3</xdr:col>
          <xdr:colOff>374650</xdr:colOff>
          <xdr:row>57</xdr:row>
          <xdr:rowOff>12700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3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56</xdr:row>
          <xdr:rowOff>146050</xdr:rowOff>
        </xdr:from>
        <xdr:to>
          <xdr:col>3</xdr:col>
          <xdr:colOff>527050</xdr:colOff>
          <xdr:row>57</xdr:row>
          <xdr:rowOff>165100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3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12700</xdr:rowOff>
        </xdr:from>
        <xdr:to>
          <xdr:col>2</xdr:col>
          <xdr:colOff>508000</xdr:colOff>
          <xdr:row>8</xdr:row>
          <xdr:rowOff>31750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3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Left atrial pressure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4</xdr:row>
          <xdr:rowOff>0</xdr:rowOff>
        </xdr:from>
        <xdr:to>
          <xdr:col>2</xdr:col>
          <xdr:colOff>514350</xdr:colOff>
          <xdr:row>5</xdr:row>
          <xdr:rowOff>19050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3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Cardiac cycle time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165100</xdr:rowOff>
        </xdr:from>
        <xdr:to>
          <xdr:col>2</xdr:col>
          <xdr:colOff>266700</xdr:colOff>
          <xdr:row>8</xdr:row>
          <xdr:rowOff>184150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3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Aortic pressure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9</xdr:row>
          <xdr:rowOff>152400</xdr:rowOff>
        </xdr:from>
        <xdr:to>
          <xdr:col>3</xdr:col>
          <xdr:colOff>438150</xdr:colOff>
          <xdr:row>11</xdr:row>
          <xdr:rowOff>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3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Flow loop temperature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10</xdr:row>
          <xdr:rowOff>152400</xdr:rowOff>
        </xdr:from>
        <xdr:to>
          <xdr:col>3</xdr:col>
          <xdr:colOff>431800</xdr:colOff>
          <xdr:row>12</xdr:row>
          <xdr:rowOff>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3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Left ventricular volume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1733550</xdr:colOff>
          <xdr:row>11</xdr:row>
          <xdr:rowOff>165100</xdr:rowOff>
        </xdr:from>
        <xdr:to>
          <xdr:col>3</xdr:col>
          <xdr:colOff>412750</xdr:colOff>
          <xdr:row>13</xdr:row>
          <xdr:rowOff>12700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3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Aortic flow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1746250</xdr:colOff>
          <xdr:row>12</xdr:row>
          <xdr:rowOff>152400</xdr:rowOff>
        </xdr:from>
        <xdr:to>
          <xdr:col>3</xdr:col>
          <xdr:colOff>419100</xdr:colOff>
          <xdr:row>14</xdr:row>
          <xdr:rowOff>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3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LVAD flow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1746250</xdr:colOff>
          <xdr:row>13</xdr:row>
          <xdr:rowOff>165100</xdr:rowOff>
        </xdr:from>
        <xdr:to>
          <xdr:col>3</xdr:col>
          <xdr:colOff>419100</xdr:colOff>
          <xdr:row>15</xdr:row>
          <xdr:rowOff>12700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3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LVAD inlet/outlet pressure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1727200</xdr:colOff>
          <xdr:row>14</xdr:row>
          <xdr:rowOff>184150</xdr:rowOff>
        </xdr:from>
        <xdr:to>
          <xdr:col>3</xdr:col>
          <xdr:colOff>412750</xdr:colOff>
          <xdr:row>16</xdr:row>
          <xdr:rowOff>31750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3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LVAD internal pressure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1727200</xdr:colOff>
          <xdr:row>15</xdr:row>
          <xdr:rowOff>184150</xdr:rowOff>
        </xdr:from>
        <xdr:to>
          <xdr:col>4</xdr:col>
          <xdr:colOff>336550</xdr:colOff>
          <xdr:row>16</xdr:row>
          <xdr:rowOff>171450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3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LVAD motor current, voltage and power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1733550</xdr:colOff>
          <xdr:row>16</xdr:row>
          <xdr:rowOff>171450</xdr:rowOff>
        </xdr:from>
        <xdr:to>
          <xdr:col>3</xdr:col>
          <xdr:colOff>412750</xdr:colOff>
          <xdr:row>18</xdr:row>
          <xdr:rowOff>19050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3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LVAD rotational speed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1746250</xdr:colOff>
          <xdr:row>18</xdr:row>
          <xdr:rowOff>0</xdr:rowOff>
        </xdr:from>
        <xdr:to>
          <xdr:col>3</xdr:col>
          <xdr:colOff>419100</xdr:colOff>
          <xdr:row>19</xdr:row>
          <xdr:rowOff>31750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3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LVAD cycle time pulse 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1746250</xdr:colOff>
          <xdr:row>19</xdr:row>
          <xdr:rowOff>12700</xdr:rowOff>
        </xdr:from>
        <xdr:to>
          <xdr:col>3</xdr:col>
          <xdr:colOff>412750</xdr:colOff>
          <xdr:row>20</xdr:row>
          <xdr:rowOff>38100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3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Pulmonary arterial pressure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1733550</xdr:colOff>
          <xdr:row>20</xdr:row>
          <xdr:rowOff>12700</xdr:rowOff>
        </xdr:from>
        <xdr:to>
          <xdr:col>3</xdr:col>
          <xdr:colOff>412750</xdr:colOff>
          <xdr:row>21</xdr:row>
          <xdr:rowOff>38100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3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Right atrial pressure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1733550</xdr:colOff>
          <xdr:row>20</xdr:row>
          <xdr:rowOff>184150</xdr:rowOff>
        </xdr:from>
        <xdr:to>
          <xdr:col>3</xdr:col>
          <xdr:colOff>412750</xdr:colOff>
          <xdr:row>22</xdr:row>
          <xdr:rowOff>31750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3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Right ventricular pressure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3.xml"/><Relationship Id="rId13" Type="http://schemas.openxmlformats.org/officeDocument/2006/relationships/ctrlProp" Target="../ctrlProps/ctrlProp68.xml"/><Relationship Id="rId18" Type="http://schemas.openxmlformats.org/officeDocument/2006/relationships/ctrlProp" Target="../ctrlProps/ctrlProp7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76.xml"/><Relationship Id="rId7" Type="http://schemas.openxmlformats.org/officeDocument/2006/relationships/ctrlProp" Target="../ctrlProps/ctrlProp62.xml"/><Relationship Id="rId12" Type="http://schemas.openxmlformats.org/officeDocument/2006/relationships/ctrlProp" Target="../ctrlProps/ctrlProp67.xml"/><Relationship Id="rId17" Type="http://schemas.openxmlformats.org/officeDocument/2006/relationships/ctrlProp" Target="../ctrlProps/ctrlProp72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71.xml"/><Relationship Id="rId20" Type="http://schemas.openxmlformats.org/officeDocument/2006/relationships/ctrlProp" Target="../ctrlProps/ctrlProp75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1.xml"/><Relationship Id="rId11" Type="http://schemas.openxmlformats.org/officeDocument/2006/relationships/ctrlProp" Target="../ctrlProps/ctrlProp66.xml"/><Relationship Id="rId5" Type="http://schemas.openxmlformats.org/officeDocument/2006/relationships/ctrlProp" Target="../ctrlProps/ctrlProp60.xml"/><Relationship Id="rId15" Type="http://schemas.openxmlformats.org/officeDocument/2006/relationships/ctrlProp" Target="../ctrlProps/ctrlProp70.xml"/><Relationship Id="rId10" Type="http://schemas.openxmlformats.org/officeDocument/2006/relationships/ctrlProp" Target="../ctrlProps/ctrlProp65.xml"/><Relationship Id="rId19" Type="http://schemas.openxmlformats.org/officeDocument/2006/relationships/ctrlProp" Target="../ctrlProps/ctrlProp74.xml"/><Relationship Id="rId4" Type="http://schemas.openxmlformats.org/officeDocument/2006/relationships/ctrlProp" Target="../ctrlProps/ctrlProp59.xml"/><Relationship Id="rId9" Type="http://schemas.openxmlformats.org/officeDocument/2006/relationships/ctrlProp" Target="../ctrlProps/ctrlProp64.xml"/><Relationship Id="rId14" Type="http://schemas.openxmlformats.org/officeDocument/2006/relationships/ctrlProp" Target="../ctrlProps/ctrlProp6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2.xml"/><Relationship Id="rId13" Type="http://schemas.openxmlformats.org/officeDocument/2006/relationships/ctrlProp" Target="../ctrlProps/ctrlProp87.xml"/><Relationship Id="rId18" Type="http://schemas.openxmlformats.org/officeDocument/2006/relationships/ctrlProp" Target="../ctrlProps/ctrlProp92.xml"/><Relationship Id="rId3" Type="http://schemas.openxmlformats.org/officeDocument/2006/relationships/ctrlProp" Target="../ctrlProps/ctrlProp77.xml"/><Relationship Id="rId21" Type="http://schemas.openxmlformats.org/officeDocument/2006/relationships/ctrlProp" Target="../ctrlProps/ctrlProp95.xml"/><Relationship Id="rId7" Type="http://schemas.openxmlformats.org/officeDocument/2006/relationships/ctrlProp" Target="../ctrlProps/ctrlProp81.xml"/><Relationship Id="rId12" Type="http://schemas.openxmlformats.org/officeDocument/2006/relationships/ctrlProp" Target="../ctrlProps/ctrlProp86.xml"/><Relationship Id="rId17" Type="http://schemas.openxmlformats.org/officeDocument/2006/relationships/ctrlProp" Target="../ctrlProps/ctrlProp91.xml"/><Relationship Id="rId2" Type="http://schemas.openxmlformats.org/officeDocument/2006/relationships/vmlDrawing" Target="../drawings/vmlDrawing3.vml"/><Relationship Id="rId16" Type="http://schemas.openxmlformats.org/officeDocument/2006/relationships/ctrlProp" Target="../ctrlProps/ctrlProp90.xml"/><Relationship Id="rId20" Type="http://schemas.openxmlformats.org/officeDocument/2006/relationships/ctrlProp" Target="../ctrlProps/ctrlProp94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80.xml"/><Relationship Id="rId11" Type="http://schemas.openxmlformats.org/officeDocument/2006/relationships/ctrlProp" Target="../ctrlProps/ctrlProp85.xml"/><Relationship Id="rId5" Type="http://schemas.openxmlformats.org/officeDocument/2006/relationships/ctrlProp" Target="../ctrlProps/ctrlProp79.xml"/><Relationship Id="rId15" Type="http://schemas.openxmlformats.org/officeDocument/2006/relationships/ctrlProp" Target="../ctrlProps/ctrlProp89.xml"/><Relationship Id="rId10" Type="http://schemas.openxmlformats.org/officeDocument/2006/relationships/ctrlProp" Target="../ctrlProps/ctrlProp84.xml"/><Relationship Id="rId19" Type="http://schemas.openxmlformats.org/officeDocument/2006/relationships/ctrlProp" Target="../ctrlProps/ctrlProp93.xml"/><Relationship Id="rId4" Type="http://schemas.openxmlformats.org/officeDocument/2006/relationships/ctrlProp" Target="../ctrlProps/ctrlProp78.xml"/><Relationship Id="rId9" Type="http://schemas.openxmlformats.org/officeDocument/2006/relationships/ctrlProp" Target="../ctrlProps/ctrlProp83.xml"/><Relationship Id="rId14" Type="http://schemas.openxmlformats.org/officeDocument/2006/relationships/ctrlProp" Target="../ctrlProps/ctrlProp8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opLeftCell="A43" zoomScale="109" workbookViewId="0">
      <selection activeCell="A61" sqref="A61:XFD61"/>
    </sheetView>
  </sheetViews>
  <sheetFormatPr defaultRowHeight="14.5" x14ac:dyDescent="0.35"/>
  <cols>
    <col min="1" max="1" width="32.36328125" customWidth="1"/>
  </cols>
  <sheetData>
    <row r="1" spans="1:1" x14ac:dyDescent="0.35">
      <c r="A1" s="1" t="s">
        <v>0</v>
      </c>
    </row>
    <row r="6" spans="1:1" x14ac:dyDescent="0.35">
      <c r="A6" s="1" t="s">
        <v>1</v>
      </c>
    </row>
    <row r="7" spans="1:1" x14ac:dyDescent="0.35">
      <c r="A7" s="2"/>
    </row>
    <row r="13" spans="1:1" x14ac:dyDescent="0.35">
      <c r="A13" s="1"/>
    </row>
    <row r="14" spans="1:1" x14ac:dyDescent="0.35">
      <c r="A14" s="1" t="s">
        <v>12</v>
      </c>
    </row>
    <row r="15" spans="1:1" x14ac:dyDescent="0.35">
      <c r="A15" s="1"/>
    </row>
    <row r="16" spans="1:1" x14ac:dyDescent="0.35">
      <c r="A16" s="1"/>
    </row>
    <row r="17" spans="1:2" x14ac:dyDescent="0.35">
      <c r="A17" s="1"/>
    </row>
    <row r="18" spans="1:2" x14ac:dyDescent="0.35">
      <c r="A18" s="1"/>
    </row>
    <row r="19" spans="1:2" x14ac:dyDescent="0.35">
      <c r="A19" s="1"/>
    </row>
    <row r="20" spans="1:2" x14ac:dyDescent="0.35">
      <c r="A20" s="1" t="s">
        <v>11</v>
      </c>
      <c r="B20" t="s">
        <v>2</v>
      </c>
    </row>
    <row r="21" spans="1:2" x14ac:dyDescent="0.35">
      <c r="A21" s="1" t="s">
        <v>3</v>
      </c>
    </row>
    <row r="26" spans="1:2" x14ac:dyDescent="0.35">
      <c r="A26" s="3"/>
    </row>
    <row r="37" spans="1:1" x14ac:dyDescent="0.35">
      <c r="A37" s="1" t="s">
        <v>4</v>
      </c>
    </row>
    <row r="43" spans="1:1" x14ac:dyDescent="0.35">
      <c r="A43" s="3"/>
    </row>
    <row r="55" spans="1:2" s="4" customFormat="1" x14ac:dyDescent="0.35">
      <c r="A55"/>
    </row>
    <row r="59" spans="1:2" x14ac:dyDescent="0.35">
      <c r="A59" s="1" t="s">
        <v>6</v>
      </c>
      <c r="B59" s="5" t="s">
        <v>2</v>
      </c>
    </row>
    <row r="60" spans="1:2" x14ac:dyDescent="0.35">
      <c r="A60" s="1"/>
      <c r="B60" s="5"/>
    </row>
    <row r="61" spans="1:2" s="14" customFormat="1" x14ac:dyDescent="0.35">
      <c r="A61" s="13" t="s">
        <v>31</v>
      </c>
      <c r="B61" s="15"/>
    </row>
    <row r="62" spans="1:2" x14ac:dyDescent="0.35">
      <c r="A62" s="1"/>
      <c r="B62" s="5"/>
    </row>
    <row r="64" spans="1:2" x14ac:dyDescent="0.35">
      <c r="A64" s="4" t="s">
        <v>7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0</xdr:col>
                    <xdr:colOff>2260600</xdr:colOff>
                    <xdr:row>0</xdr:row>
                    <xdr:rowOff>165100</xdr:rowOff>
                  </from>
                  <to>
                    <xdr:col>2</xdr:col>
                    <xdr:colOff>127000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0</xdr:col>
                    <xdr:colOff>2247900</xdr:colOff>
                    <xdr:row>1</xdr:row>
                    <xdr:rowOff>165100</xdr:rowOff>
                  </from>
                  <to>
                    <xdr:col>3</xdr:col>
                    <xdr:colOff>88900</xdr:colOff>
                    <xdr:row>2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0</xdr:col>
                    <xdr:colOff>2241550</xdr:colOff>
                    <xdr:row>2</xdr:row>
                    <xdr:rowOff>184150</xdr:rowOff>
                  </from>
                  <to>
                    <xdr:col>3</xdr:col>
                    <xdr:colOff>76200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171450</xdr:rowOff>
                  </from>
                  <to>
                    <xdr:col>3</xdr:col>
                    <xdr:colOff>107950</xdr:colOff>
                    <xdr:row>6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171450</xdr:rowOff>
                  </from>
                  <to>
                    <xdr:col>3</xdr:col>
                    <xdr:colOff>590550</xdr:colOff>
                    <xdr:row>7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171450</xdr:rowOff>
                  </from>
                  <to>
                    <xdr:col>3</xdr:col>
                    <xdr:colOff>107950</xdr:colOff>
                    <xdr:row>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171450</xdr:rowOff>
                  </from>
                  <to>
                    <xdr:col>3</xdr:col>
                    <xdr:colOff>107950</xdr:colOff>
                    <xdr:row>9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171450</xdr:rowOff>
                  </from>
                  <to>
                    <xdr:col>3</xdr:col>
                    <xdr:colOff>393700</xdr:colOff>
                    <xdr:row>10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171450</xdr:rowOff>
                  </from>
                  <to>
                    <xdr:col>4</xdr:col>
                    <xdr:colOff>88900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3" name="Check Box 13">
              <controlPr defaultSize="0" autoFill="0" autoLine="0" autoPict="0">
                <anchor moveWithCells="1">
                  <from>
                    <xdr:col>0</xdr:col>
                    <xdr:colOff>2260600</xdr:colOff>
                    <xdr:row>13</xdr:row>
                    <xdr:rowOff>184150</xdr:rowOff>
                  </from>
                  <to>
                    <xdr:col>4</xdr:col>
                    <xdr:colOff>88900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4" name="Check Box 14">
              <controlPr defaultSize="0" autoFill="0" autoLine="0" autoPict="0">
                <anchor moveWithCells="1">
                  <from>
                    <xdr:col>0</xdr:col>
                    <xdr:colOff>2247900</xdr:colOff>
                    <xdr:row>14</xdr:row>
                    <xdr:rowOff>165100</xdr:rowOff>
                  </from>
                  <to>
                    <xdr:col>4</xdr:col>
                    <xdr:colOff>76200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5" name="Check Box 15">
              <controlPr defaultSize="0" autoFill="0" autoLine="0" autoPict="0">
                <anchor moveWithCells="1">
                  <from>
                    <xdr:col>0</xdr:col>
                    <xdr:colOff>2247900</xdr:colOff>
                    <xdr:row>15</xdr:row>
                    <xdr:rowOff>152400</xdr:rowOff>
                  </from>
                  <to>
                    <xdr:col>4</xdr:col>
                    <xdr:colOff>76200</xdr:colOff>
                    <xdr:row>16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6" name="Check Box 16">
              <controlPr defaultSize="0" autoFill="0" autoLine="0" autoPict="0">
                <anchor moveWithCells="1">
                  <from>
                    <xdr:col>0</xdr:col>
                    <xdr:colOff>2241550</xdr:colOff>
                    <xdr:row>16</xdr:row>
                    <xdr:rowOff>165100</xdr:rowOff>
                  </from>
                  <to>
                    <xdr:col>4</xdr:col>
                    <xdr:colOff>69850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Check Box 18">
              <controlPr defaultSize="0" autoFill="0" autoLine="0" autoPict="0">
                <anchor moveWithCells="1">
                  <from>
                    <xdr:col>0</xdr:col>
                    <xdr:colOff>2260600</xdr:colOff>
                    <xdr:row>20</xdr:row>
                    <xdr:rowOff>184150</xdr:rowOff>
                  </from>
                  <to>
                    <xdr:col>4</xdr:col>
                    <xdr:colOff>88900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Check Box 19">
              <controlPr defaultSize="0" autoFill="0" autoLine="0" autoPict="0">
                <anchor moveWithCells="1">
                  <from>
                    <xdr:col>0</xdr:col>
                    <xdr:colOff>2241550</xdr:colOff>
                    <xdr:row>24</xdr:row>
                    <xdr:rowOff>171450</xdr:rowOff>
                  </from>
                  <to>
                    <xdr:col>4</xdr:col>
                    <xdr:colOff>69850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9" name="Check Box 21">
              <controlPr defaultSize="0" autoFill="0" autoLine="0" autoPict="0">
                <anchor moveWithCells="1">
                  <from>
                    <xdr:col>0</xdr:col>
                    <xdr:colOff>2228850</xdr:colOff>
                    <xdr:row>25</xdr:row>
                    <xdr:rowOff>171450</xdr:rowOff>
                  </from>
                  <to>
                    <xdr:col>4</xdr:col>
                    <xdr:colOff>57150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0" name="Check Box 22">
              <controlPr defaultSize="0" autoFill="0" autoLine="0" autoPict="0">
                <anchor moveWithCells="1">
                  <from>
                    <xdr:col>1</xdr:col>
                    <xdr:colOff>603250</xdr:colOff>
                    <xdr:row>21</xdr:row>
                    <xdr:rowOff>171450</xdr:rowOff>
                  </from>
                  <to>
                    <xdr:col>5</xdr:col>
                    <xdr:colOff>88900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1" name="Check Box 23">
              <controlPr defaultSize="0" autoFill="0" autoLine="0" autoPict="0">
                <anchor moveWithCells="1">
                  <from>
                    <xdr:col>1</xdr:col>
                    <xdr:colOff>603250</xdr:colOff>
                    <xdr:row>22</xdr:row>
                    <xdr:rowOff>184150</xdr:rowOff>
                  </from>
                  <to>
                    <xdr:col>5</xdr:col>
                    <xdr:colOff>76200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2" name="Check Box 24">
              <controlPr defaultSize="0" autoFill="0" autoLine="0" autoPict="0">
                <anchor moveWithCells="1">
                  <from>
                    <xdr:col>1</xdr:col>
                    <xdr:colOff>603250</xdr:colOff>
                    <xdr:row>24</xdr:row>
                    <xdr:rowOff>31750</xdr:rowOff>
                  </from>
                  <to>
                    <xdr:col>6</xdr:col>
                    <xdr:colOff>546100</xdr:colOff>
                    <xdr:row>24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3" name="Check Box 25">
              <controlPr defaultSize="0" autoFill="0" autoLine="0" autoPict="0">
                <anchor moveWithCells="1">
                  <from>
                    <xdr:col>0</xdr:col>
                    <xdr:colOff>2228850</xdr:colOff>
                    <xdr:row>26</xdr:row>
                    <xdr:rowOff>152400</xdr:rowOff>
                  </from>
                  <to>
                    <xdr:col>4</xdr:col>
                    <xdr:colOff>57150</xdr:colOff>
                    <xdr:row>27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4" name="Check Box 26">
              <controlPr defaultSize="0" autoFill="0" autoLine="0" autoPict="0">
                <anchor moveWithCells="1">
                  <from>
                    <xdr:col>0</xdr:col>
                    <xdr:colOff>2222500</xdr:colOff>
                    <xdr:row>27</xdr:row>
                    <xdr:rowOff>165100</xdr:rowOff>
                  </from>
                  <to>
                    <xdr:col>4</xdr:col>
                    <xdr:colOff>57150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5" name="Check Box 27">
              <controlPr defaultSize="0" autoFill="0" autoLine="0" autoPict="0">
                <anchor moveWithCells="1">
                  <from>
                    <xdr:col>0</xdr:col>
                    <xdr:colOff>2222500</xdr:colOff>
                    <xdr:row>28</xdr:row>
                    <xdr:rowOff>165100</xdr:rowOff>
                  </from>
                  <to>
                    <xdr:col>3</xdr:col>
                    <xdr:colOff>38100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6" name="Check Box 28">
              <controlPr defaultSize="0" autoFill="0" autoLine="0" autoPict="0">
                <anchor moveWithCells="1">
                  <from>
                    <xdr:col>0</xdr:col>
                    <xdr:colOff>2222500</xdr:colOff>
                    <xdr:row>30</xdr:row>
                    <xdr:rowOff>184150</xdr:rowOff>
                  </from>
                  <to>
                    <xdr:col>2</xdr:col>
                    <xdr:colOff>127000</xdr:colOff>
                    <xdr:row>31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7" name="Check Box 29">
              <controlPr defaultSize="0" autoFill="0" autoLine="0" autoPict="0">
                <anchor moveWithCells="1">
                  <from>
                    <xdr:col>2</xdr:col>
                    <xdr:colOff>12700</xdr:colOff>
                    <xdr:row>31</xdr:row>
                    <xdr:rowOff>127000</xdr:rowOff>
                  </from>
                  <to>
                    <xdr:col>3</xdr:col>
                    <xdr:colOff>298450</xdr:colOff>
                    <xdr:row>32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8" name="Check Box 30">
              <controlPr defaultSize="0" autoFill="0" autoLine="0" autoPict="0">
                <anchor moveWithCells="1">
                  <from>
                    <xdr:col>2</xdr:col>
                    <xdr:colOff>12700</xdr:colOff>
                    <xdr:row>32</xdr:row>
                    <xdr:rowOff>146050</xdr:rowOff>
                  </from>
                  <to>
                    <xdr:col>3</xdr:col>
                    <xdr:colOff>298450</xdr:colOff>
                    <xdr:row>33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9" name="Check Box 31">
              <controlPr defaultSize="0" autoFill="0" autoLine="0" autoPict="0">
                <anchor moveWithCells="1">
                  <from>
                    <xdr:col>2</xdr:col>
                    <xdr:colOff>0</xdr:colOff>
                    <xdr:row>33</xdr:row>
                    <xdr:rowOff>165100</xdr:rowOff>
                  </from>
                  <to>
                    <xdr:col>3</xdr:col>
                    <xdr:colOff>285750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0" name="Check Box 32">
              <controlPr defaultSize="0" autoFill="0" autoLine="0" autoPict="0">
                <anchor moveWithCells="1">
                  <from>
                    <xdr:col>2</xdr:col>
                    <xdr:colOff>0</xdr:colOff>
                    <xdr:row>34</xdr:row>
                    <xdr:rowOff>184150</xdr:rowOff>
                  </from>
                  <to>
                    <xdr:col>3</xdr:col>
                    <xdr:colOff>285750</xdr:colOff>
                    <xdr:row>36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1" name="Check Box 33">
              <controlPr defaultSize="0" autoFill="0" autoLine="0" autoPict="0">
                <anchor moveWithCells="1">
                  <from>
                    <xdr:col>1</xdr:col>
                    <xdr:colOff>0</xdr:colOff>
                    <xdr:row>37</xdr:row>
                    <xdr:rowOff>12700</xdr:rowOff>
                  </from>
                  <to>
                    <xdr:col>4</xdr:col>
                    <xdr:colOff>88900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2" name="Check Box 34">
              <controlPr defaultSize="0" autoFill="0" autoLine="0" autoPict="0">
                <anchor moveWithCells="1">
                  <from>
                    <xdr:col>0</xdr:col>
                    <xdr:colOff>2260600</xdr:colOff>
                    <xdr:row>38</xdr:row>
                    <xdr:rowOff>0</xdr:rowOff>
                  </from>
                  <to>
                    <xdr:col>4</xdr:col>
                    <xdr:colOff>527050</xdr:colOff>
                    <xdr:row>38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3" name="Check Box 35">
              <controlPr defaultSize="0" autoFill="0" autoLine="0" autoPict="0">
                <anchor moveWithCells="1">
                  <from>
                    <xdr:col>1</xdr:col>
                    <xdr:colOff>0</xdr:colOff>
                    <xdr:row>39</xdr:row>
                    <xdr:rowOff>12700</xdr:rowOff>
                  </from>
                  <to>
                    <xdr:col>4</xdr:col>
                    <xdr:colOff>88900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4" name="Check Box 36">
              <controlPr defaultSize="0" autoFill="0" autoLine="0" autoPict="0">
                <anchor moveWithCells="1">
                  <from>
                    <xdr:col>1</xdr:col>
                    <xdr:colOff>0</xdr:colOff>
                    <xdr:row>39</xdr:row>
                    <xdr:rowOff>184150</xdr:rowOff>
                  </from>
                  <to>
                    <xdr:col>4</xdr:col>
                    <xdr:colOff>88900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5" name="Check Box 37">
              <controlPr defaultSize="0" autoFill="0" autoLine="0" autoPict="0">
                <anchor moveWithCells="1">
                  <from>
                    <xdr:col>1</xdr:col>
                    <xdr:colOff>0</xdr:colOff>
                    <xdr:row>41</xdr:row>
                    <xdr:rowOff>12700</xdr:rowOff>
                  </from>
                  <to>
                    <xdr:col>4</xdr:col>
                    <xdr:colOff>88900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6" name="Check Box 38">
              <controlPr defaultSize="0" autoFill="0" autoLine="0" autoPict="0">
                <anchor moveWithCells="1">
                  <from>
                    <xdr:col>1</xdr:col>
                    <xdr:colOff>0</xdr:colOff>
                    <xdr:row>42</xdr:row>
                    <xdr:rowOff>12700</xdr:rowOff>
                  </from>
                  <to>
                    <xdr:col>4</xdr:col>
                    <xdr:colOff>88900</xdr:colOff>
                    <xdr:row>43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37" name="Check Box 39">
              <controlPr defaultSize="0" autoFill="0" autoLine="0" autoPict="0">
                <anchor moveWithCells="1">
                  <from>
                    <xdr:col>1</xdr:col>
                    <xdr:colOff>0</xdr:colOff>
                    <xdr:row>43</xdr:row>
                    <xdr:rowOff>12700</xdr:rowOff>
                  </from>
                  <to>
                    <xdr:col>4</xdr:col>
                    <xdr:colOff>88900</xdr:colOff>
                    <xdr:row>44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38" name="Check Box 40">
              <controlPr defaultSize="0" autoFill="0" autoLine="0" autoPict="0">
                <anchor moveWithCells="1">
                  <from>
                    <xdr:col>1</xdr:col>
                    <xdr:colOff>0</xdr:colOff>
                    <xdr:row>46</xdr:row>
                    <xdr:rowOff>0</xdr:rowOff>
                  </from>
                  <to>
                    <xdr:col>4</xdr:col>
                    <xdr:colOff>88900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39" name="Check Box 41">
              <controlPr defaultSize="0" autoFill="0" autoLine="0" autoPict="0">
                <anchor moveWithCells="1">
                  <from>
                    <xdr:col>1</xdr:col>
                    <xdr:colOff>571500</xdr:colOff>
                    <xdr:row>43</xdr:row>
                    <xdr:rowOff>184150</xdr:rowOff>
                  </from>
                  <to>
                    <xdr:col>5</xdr:col>
                    <xdr:colOff>50800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0" name="Check Box 42">
              <controlPr defaultSize="0" autoFill="0" autoLine="0" autoPict="0">
                <anchor moveWithCells="1">
                  <from>
                    <xdr:col>1</xdr:col>
                    <xdr:colOff>603250</xdr:colOff>
                    <xdr:row>44</xdr:row>
                    <xdr:rowOff>184150</xdr:rowOff>
                  </from>
                  <to>
                    <xdr:col>5</xdr:col>
                    <xdr:colOff>69850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1" name="Check Box 43">
              <controlPr defaultSize="0" autoFill="0" autoLine="0" autoPict="0">
                <anchor moveWithCells="1">
                  <from>
                    <xdr:col>1</xdr:col>
                    <xdr:colOff>603250</xdr:colOff>
                    <xdr:row>46</xdr:row>
                    <xdr:rowOff>165100</xdr:rowOff>
                  </from>
                  <to>
                    <xdr:col>5</xdr:col>
                    <xdr:colOff>76200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2" name="Check Box 44">
              <controlPr defaultSize="0" autoFill="0" autoLine="0" autoPict="0">
                <anchor moveWithCells="1">
                  <from>
                    <xdr:col>2</xdr:col>
                    <xdr:colOff>0</xdr:colOff>
                    <xdr:row>47</xdr:row>
                    <xdr:rowOff>165100</xdr:rowOff>
                  </from>
                  <to>
                    <xdr:col>5</xdr:col>
                    <xdr:colOff>88900</xdr:colOff>
                    <xdr:row>48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3" name="Check Box 45">
              <controlPr defaultSize="0" autoFill="0" autoLine="0" autoPict="0">
                <anchor moveWithCells="1">
                  <from>
                    <xdr:col>0</xdr:col>
                    <xdr:colOff>2247900</xdr:colOff>
                    <xdr:row>48</xdr:row>
                    <xdr:rowOff>146050</xdr:rowOff>
                  </from>
                  <to>
                    <xdr:col>4</xdr:col>
                    <xdr:colOff>76200</xdr:colOff>
                    <xdr:row>49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4" name="Check Box 46">
              <controlPr defaultSize="0" autoFill="0" autoLine="0" autoPict="0">
                <anchor moveWithCells="1">
                  <from>
                    <xdr:col>0</xdr:col>
                    <xdr:colOff>2260600</xdr:colOff>
                    <xdr:row>49</xdr:row>
                    <xdr:rowOff>165100</xdr:rowOff>
                  </from>
                  <to>
                    <xdr:col>5</xdr:col>
                    <xdr:colOff>412750</xdr:colOff>
                    <xdr:row>51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5" name="Check Box 47">
              <controlPr defaultSize="0" autoFill="0" autoLine="0" autoPict="0">
                <anchor moveWithCells="1">
                  <from>
                    <xdr:col>0</xdr:col>
                    <xdr:colOff>2241550</xdr:colOff>
                    <xdr:row>51</xdr:row>
                    <xdr:rowOff>31750</xdr:rowOff>
                  </from>
                  <to>
                    <xdr:col>6</xdr:col>
                    <xdr:colOff>0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46" name="Check Box 55">
              <controlPr defaultSize="0" autoFill="0" autoLine="0" autoPict="0">
                <anchor moveWithCells="1">
                  <from>
                    <xdr:col>0</xdr:col>
                    <xdr:colOff>2241550</xdr:colOff>
                    <xdr:row>52</xdr:row>
                    <xdr:rowOff>12700</xdr:rowOff>
                  </from>
                  <to>
                    <xdr:col>6</xdr:col>
                    <xdr:colOff>0</xdr:colOff>
                    <xdr:row>53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47" name="Check Box 56">
              <controlPr defaultSize="0" autoFill="0" autoLine="0" autoPict="0">
                <anchor moveWithCells="1">
                  <from>
                    <xdr:col>0</xdr:col>
                    <xdr:colOff>2247900</xdr:colOff>
                    <xdr:row>53</xdr:row>
                    <xdr:rowOff>0</xdr:rowOff>
                  </from>
                  <to>
                    <xdr:col>6</xdr:col>
                    <xdr:colOff>12700</xdr:colOff>
                    <xdr:row>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48" name="Check Box 57">
              <controlPr defaultSize="0" autoFill="0" autoLine="0" autoPict="0">
                <anchor moveWithCells="1">
                  <from>
                    <xdr:col>0</xdr:col>
                    <xdr:colOff>2247900</xdr:colOff>
                    <xdr:row>53</xdr:row>
                    <xdr:rowOff>184150</xdr:rowOff>
                  </from>
                  <to>
                    <xdr:col>6</xdr:col>
                    <xdr:colOff>12700</xdr:colOff>
                    <xdr:row>55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49" name="Check Box 58">
              <controlPr defaultSize="0" autoFill="0" autoLine="0" autoPict="0">
                <anchor moveWithCells="1">
                  <from>
                    <xdr:col>0</xdr:col>
                    <xdr:colOff>2247900</xdr:colOff>
                    <xdr:row>55</xdr:row>
                    <xdr:rowOff>0</xdr:rowOff>
                  </from>
                  <to>
                    <xdr:col>3</xdr:col>
                    <xdr:colOff>127000</xdr:colOff>
                    <xdr:row>55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50" name="Check Box 59">
              <controlPr defaultSize="0" autoFill="0" autoLine="0" autoPict="0">
                <anchor moveWithCells="1">
                  <from>
                    <xdr:col>0</xdr:col>
                    <xdr:colOff>2241550</xdr:colOff>
                    <xdr:row>55</xdr:row>
                    <xdr:rowOff>184150</xdr:rowOff>
                  </from>
                  <to>
                    <xdr:col>2</xdr:col>
                    <xdr:colOff>469900</xdr:colOff>
                    <xdr:row>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51" name="Check Box 61">
              <controlPr defaultSize="0" autoFill="0" autoLine="0" autoPict="0">
                <anchor moveWithCells="1">
                  <from>
                    <xdr:col>1</xdr:col>
                    <xdr:colOff>12700</xdr:colOff>
                    <xdr:row>63</xdr:row>
                    <xdr:rowOff>184150</xdr:rowOff>
                  </from>
                  <to>
                    <xdr:col>2</xdr:col>
                    <xdr:colOff>260350</xdr:colOff>
                    <xdr:row>65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52" name="Check Box 62">
              <controlPr defaultSize="0" autoFill="0" autoLine="0" autoPict="0">
                <anchor moveWithCells="1">
                  <from>
                    <xdr:col>0</xdr:col>
                    <xdr:colOff>2260600</xdr:colOff>
                    <xdr:row>64</xdr:row>
                    <xdr:rowOff>184150</xdr:rowOff>
                  </from>
                  <to>
                    <xdr:col>2</xdr:col>
                    <xdr:colOff>241300</xdr:colOff>
                    <xdr:row>66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53" name="Check Box 63">
              <controlPr defaultSize="0" autoFill="0" autoLine="0" autoPict="0">
                <anchor moveWithCells="1">
                  <from>
                    <xdr:col>1</xdr:col>
                    <xdr:colOff>0</xdr:colOff>
                    <xdr:row>65</xdr:row>
                    <xdr:rowOff>184150</xdr:rowOff>
                  </from>
                  <to>
                    <xdr:col>2</xdr:col>
                    <xdr:colOff>247650</xdr:colOff>
                    <xdr:row>67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54" name="Check Box 64">
              <controlPr defaultSize="0" autoFill="0" autoLine="0" autoPict="0">
                <anchor moveWithCells="1">
                  <from>
                    <xdr:col>1</xdr:col>
                    <xdr:colOff>0</xdr:colOff>
                    <xdr:row>67</xdr:row>
                    <xdr:rowOff>12700</xdr:rowOff>
                  </from>
                  <to>
                    <xdr:col>2</xdr:col>
                    <xdr:colOff>247650</xdr:colOff>
                    <xdr:row>68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55" name="Check Box 65">
              <controlPr defaultSize="0" autoFill="0" autoLine="0" autoPict="0">
                <anchor moveWithCells="1">
                  <from>
                    <xdr:col>1</xdr:col>
                    <xdr:colOff>0</xdr:colOff>
                    <xdr:row>68</xdr:row>
                    <xdr:rowOff>31750</xdr:rowOff>
                  </from>
                  <to>
                    <xdr:col>2</xdr:col>
                    <xdr:colOff>247650</xdr:colOff>
                    <xdr:row>69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56" name="Check Box 66">
              <controlPr defaultSize="0" autoFill="0" autoLine="0" autoPict="0">
                <anchor moveWithCells="1">
                  <from>
                    <xdr:col>0</xdr:col>
                    <xdr:colOff>2260600</xdr:colOff>
                    <xdr:row>68</xdr:row>
                    <xdr:rowOff>184150</xdr:rowOff>
                  </from>
                  <to>
                    <xdr:col>2</xdr:col>
                    <xdr:colOff>241300</xdr:colOff>
                    <xdr:row>70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57" name="Check Box 67">
              <controlPr defaultSize="0" autoFill="0" autoLine="0" autoPict="0">
                <anchor moveWithCells="1">
                  <from>
                    <xdr:col>1</xdr:col>
                    <xdr:colOff>12700</xdr:colOff>
                    <xdr:row>60</xdr:row>
                    <xdr:rowOff>184150</xdr:rowOff>
                  </from>
                  <to>
                    <xdr:col>2</xdr:col>
                    <xdr:colOff>260350</xdr:colOff>
                    <xdr:row>62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58" name="Check Box 68">
              <controlPr defaultSize="0" autoFill="0" autoLine="0" autoPict="0">
                <anchor moveWithCells="1">
                  <from>
                    <xdr:col>0</xdr:col>
                    <xdr:colOff>2260600</xdr:colOff>
                    <xdr:row>62</xdr:row>
                    <xdr:rowOff>12700</xdr:rowOff>
                  </from>
                  <to>
                    <xdr:col>2</xdr:col>
                    <xdr:colOff>241300</xdr:colOff>
                    <xdr:row>63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59" name="Check Box 69">
              <controlPr defaultSize="0" autoFill="0" autoLine="0" autoPict="0">
                <anchor moveWithCells="1">
                  <from>
                    <xdr:col>0</xdr:col>
                    <xdr:colOff>2222500</xdr:colOff>
                    <xdr:row>29</xdr:row>
                    <xdr:rowOff>184150</xdr:rowOff>
                  </from>
                  <to>
                    <xdr:col>3</xdr:col>
                    <xdr:colOff>184150</xdr:colOff>
                    <xdr:row>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60" name="Check Box 70">
              <controlPr defaultSize="0" autoFill="0" autoLine="0" autoPict="0">
                <anchor moveWithCells="1">
                  <from>
                    <xdr:col>1</xdr:col>
                    <xdr:colOff>0</xdr:colOff>
                    <xdr:row>69</xdr:row>
                    <xdr:rowOff>184150</xdr:rowOff>
                  </from>
                  <to>
                    <xdr:col>3</xdr:col>
                    <xdr:colOff>590550</xdr:colOff>
                    <xdr:row>71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61" name="Check Box 71">
              <controlPr defaultSize="0" autoFill="0" autoLine="0" autoPict="0">
                <anchor moveWithCells="1">
                  <from>
                    <xdr:col>1</xdr:col>
                    <xdr:colOff>12700</xdr:colOff>
                    <xdr:row>70</xdr:row>
                    <xdr:rowOff>184150</xdr:rowOff>
                  </from>
                  <to>
                    <xdr:col>4</xdr:col>
                    <xdr:colOff>355600</xdr:colOff>
                    <xdr:row>71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"/>
  <sheetViews>
    <sheetView workbookViewId="0">
      <selection activeCell="A37" sqref="A37:XFD37"/>
    </sheetView>
  </sheetViews>
  <sheetFormatPr defaultRowHeight="14.5" x14ac:dyDescent="0.35"/>
  <cols>
    <col min="1" max="1" width="42.7265625" bestFit="1" customWidth="1"/>
    <col min="2" max="2" width="27.7265625" customWidth="1"/>
  </cols>
  <sheetData>
    <row r="1" spans="1:2" x14ac:dyDescent="0.35">
      <c r="A1" s="1" t="s">
        <v>9</v>
      </c>
      <c r="B1">
        <v>1</v>
      </c>
    </row>
    <row r="2" spans="1:2" x14ac:dyDescent="0.35">
      <c r="A2" s="1" t="s">
        <v>10</v>
      </c>
    </row>
    <row r="8" spans="1:2" x14ac:dyDescent="0.35">
      <c r="A8" s="1" t="s">
        <v>13</v>
      </c>
    </row>
    <row r="13" spans="1:2" s="3" customFormat="1" x14ac:dyDescent="0.35"/>
    <row r="15" spans="1:2" s="1" customFormat="1" x14ac:dyDescent="0.35">
      <c r="A15" s="4" t="s">
        <v>14</v>
      </c>
      <c r="B15" s="1" t="s">
        <v>2</v>
      </c>
    </row>
    <row r="17" spans="1:4" x14ac:dyDescent="0.35">
      <c r="A17" s="1" t="s">
        <v>5</v>
      </c>
    </row>
    <row r="25" spans="1:4" x14ac:dyDescent="0.35">
      <c r="A25" s="1" t="s">
        <v>18</v>
      </c>
      <c r="B25" s="5">
        <v>1</v>
      </c>
    </row>
    <row r="26" spans="1:4" x14ac:dyDescent="0.35">
      <c r="A26" s="1" t="s">
        <v>19</v>
      </c>
    </row>
    <row r="27" spans="1:4" x14ac:dyDescent="0.35">
      <c r="A27" s="1"/>
    </row>
    <row r="30" spans="1:4" x14ac:dyDescent="0.35">
      <c r="A30" s="1" t="s">
        <v>8</v>
      </c>
    </row>
    <row r="31" spans="1:4" x14ac:dyDescent="0.35">
      <c r="A31" s="6" t="s">
        <v>17</v>
      </c>
      <c r="B31" t="s">
        <v>176</v>
      </c>
      <c r="C31" t="s">
        <v>177</v>
      </c>
      <c r="D31" t="s">
        <v>178</v>
      </c>
    </row>
    <row r="32" spans="1:4" x14ac:dyDescent="0.35">
      <c r="A32" s="6" t="s">
        <v>29</v>
      </c>
      <c r="B32">
        <v>3.5</v>
      </c>
      <c r="C32" t="s">
        <v>180</v>
      </c>
    </row>
    <row r="33" spans="1:5" s="1" customFormat="1" ht="13" customHeight="1" x14ac:dyDescent="0.35">
      <c r="A33" s="6" t="s">
        <v>16</v>
      </c>
      <c r="B33" s="1" t="s">
        <v>179</v>
      </c>
      <c r="E33"/>
    </row>
    <row r="34" spans="1:5" s="1" customFormat="1" ht="19" customHeight="1" x14ac:dyDescent="0.35">
      <c r="A34" s="6" t="s">
        <v>35</v>
      </c>
      <c r="B34" s="1">
        <v>1094</v>
      </c>
      <c r="C34" s="1" t="s">
        <v>181</v>
      </c>
      <c r="E34"/>
    </row>
    <row r="35" spans="1:5" x14ac:dyDescent="0.35">
      <c r="A35" s="6" t="s">
        <v>36</v>
      </c>
      <c r="B35" t="s">
        <v>182</v>
      </c>
    </row>
    <row r="36" spans="1:5" x14ac:dyDescent="0.35">
      <c r="A36" s="6"/>
    </row>
    <row r="37" spans="1:5" x14ac:dyDescent="0.35">
      <c r="A37" s="1" t="s">
        <v>40</v>
      </c>
    </row>
    <row r="38" spans="1:5" x14ac:dyDescent="0.35">
      <c r="A38" s="1" t="s">
        <v>39</v>
      </c>
    </row>
    <row r="40" spans="1:5" x14ac:dyDescent="0.35">
      <c r="A40" s="1" t="s">
        <v>15</v>
      </c>
      <c r="B40">
        <v>10</v>
      </c>
    </row>
    <row r="41" spans="1:5" x14ac:dyDescent="0.35">
      <c r="A41" t="s">
        <v>37</v>
      </c>
    </row>
    <row r="42" spans="1:5" x14ac:dyDescent="0.35">
      <c r="B42" t="s">
        <v>175</v>
      </c>
      <c r="C42" t="s">
        <v>183</v>
      </c>
      <c r="D42" t="s">
        <v>184</v>
      </c>
    </row>
    <row r="43" spans="1:5" x14ac:dyDescent="0.35">
      <c r="A43">
        <v>1</v>
      </c>
      <c r="B43" t="s">
        <v>185</v>
      </c>
      <c r="C43">
        <v>20.75</v>
      </c>
      <c r="D43">
        <v>1</v>
      </c>
    </row>
    <row r="44" spans="1:5" x14ac:dyDescent="0.35">
      <c r="A44">
        <v>2</v>
      </c>
      <c r="B44" t="s">
        <v>185</v>
      </c>
      <c r="C44">
        <v>1</v>
      </c>
      <c r="D44">
        <v>1</v>
      </c>
    </row>
    <row r="45" spans="1:5" x14ac:dyDescent="0.35">
      <c r="A45">
        <v>3</v>
      </c>
      <c r="B45" t="s">
        <v>185</v>
      </c>
      <c r="C45">
        <v>1</v>
      </c>
      <c r="D45">
        <v>0.75</v>
      </c>
    </row>
    <row r="46" spans="1:5" x14ac:dyDescent="0.35">
      <c r="A46">
        <v>4</v>
      </c>
      <c r="B46" t="s">
        <v>185</v>
      </c>
      <c r="C46">
        <v>3.5</v>
      </c>
      <c r="D46">
        <v>1</v>
      </c>
    </row>
    <row r="47" spans="1:5" x14ac:dyDescent="0.35">
      <c r="A47">
        <v>5</v>
      </c>
      <c r="B47" t="s">
        <v>185</v>
      </c>
      <c r="C47">
        <v>13</v>
      </c>
      <c r="D47">
        <v>0.75</v>
      </c>
    </row>
    <row r="48" spans="1:5" x14ac:dyDescent="0.35">
      <c r="A48">
        <v>6</v>
      </c>
      <c r="B48" t="s">
        <v>185</v>
      </c>
      <c r="C48">
        <v>3.25</v>
      </c>
      <c r="D48">
        <v>1</v>
      </c>
    </row>
    <row r="49" spans="1:4" x14ac:dyDescent="0.35">
      <c r="A49">
        <v>7</v>
      </c>
      <c r="B49" t="s">
        <v>185</v>
      </c>
      <c r="C49">
        <v>0.75</v>
      </c>
      <c r="D49">
        <v>1</v>
      </c>
    </row>
    <row r="50" spans="1:4" x14ac:dyDescent="0.35">
      <c r="A50">
        <v>8</v>
      </c>
      <c r="B50" t="s">
        <v>185</v>
      </c>
      <c r="C50">
        <v>1</v>
      </c>
      <c r="D50">
        <v>0.75</v>
      </c>
    </row>
    <row r="51" spans="1:4" x14ac:dyDescent="0.35">
      <c r="A51">
        <v>9</v>
      </c>
      <c r="B51" t="s">
        <v>185</v>
      </c>
      <c r="C51">
        <v>3</v>
      </c>
      <c r="D51">
        <v>1</v>
      </c>
    </row>
    <row r="52" spans="1:4" x14ac:dyDescent="0.35">
      <c r="A52">
        <v>10</v>
      </c>
      <c r="B52" t="s">
        <v>185</v>
      </c>
      <c r="C52">
        <v>31</v>
      </c>
      <c r="D52">
        <v>1</v>
      </c>
    </row>
    <row r="53" spans="1:4" x14ac:dyDescent="0.35">
      <c r="A53" t="s">
        <v>38</v>
      </c>
    </row>
    <row r="54" spans="1:4" x14ac:dyDescent="0.35">
      <c r="B54" s="1"/>
    </row>
    <row r="55" spans="1:4" x14ac:dyDescent="0.35">
      <c r="A55" s="11" t="s">
        <v>134</v>
      </c>
    </row>
    <row r="62" spans="1:4" x14ac:dyDescent="0.35">
      <c r="B62" s="1"/>
    </row>
  </sheetData>
  <pageMargins left="0.7" right="0.7" top="0.75" bottom="0.75" header="0.3" footer="0.3"/>
  <pageSetup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12700</xdr:colOff>
                    <xdr:row>1</xdr:row>
                    <xdr:rowOff>171450</xdr:rowOff>
                  </from>
                  <to>
                    <xdr:col>1</xdr:col>
                    <xdr:colOff>869950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0</xdr:colOff>
                    <xdr:row>2</xdr:row>
                    <xdr:rowOff>184150</xdr:rowOff>
                  </from>
                  <to>
                    <xdr:col>1</xdr:col>
                    <xdr:colOff>857250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2984500</xdr:colOff>
                    <xdr:row>3</xdr:row>
                    <xdr:rowOff>171450</xdr:rowOff>
                  </from>
                  <to>
                    <xdr:col>1</xdr:col>
                    <xdr:colOff>850900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2971800</xdr:colOff>
                    <xdr:row>4</xdr:row>
                    <xdr:rowOff>171450</xdr:rowOff>
                  </from>
                  <to>
                    <xdr:col>1</xdr:col>
                    <xdr:colOff>850900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2965450</xdr:colOff>
                    <xdr:row>7</xdr:row>
                    <xdr:rowOff>171450</xdr:rowOff>
                  </from>
                  <to>
                    <xdr:col>1</xdr:col>
                    <xdr:colOff>838200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2965450</xdr:colOff>
                    <xdr:row>8</xdr:row>
                    <xdr:rowOff>127000</xdr:rowOff>
                  </from>
                  <to>
                    <xdr:col>2</xdr:col>
                    <xdr:colOff>330200</xdr:colOff>
                    <xdr:row>10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2952750</xdr:colOff>
                    <xdr:row>9</xdr:row>
                    <xdr:rowOff>171450</xdr:rowOff>
                  </from>
                  <to>
                    <xdr:col>1</xdr:col>
                    <xdr:colOff>831850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2965450</xdr:colOff>
                    <xdr:row>11</xdr:row>
                    <xdr:rowOff>0</xdr:rowOff>
                  </from>
                  <to>
                    <xdr:col>1</xdr:col>
                    <xdr:colOff>831850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0</xdr:col>
                    <xdr:colOff>2952750</xdr:colOff>
                    <xdr:row>11</xdr:row>
                    <xdr:rowOff>171450</xdr:rowOff>
                  </from>
                  <to>
                    <xdr:col>1</xdr:col>
                    <xdr:colOff>1733550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0</xdr:col>
                    <xdr:colOff>2984500</xdr:colOff>
                    <xdr:row>16</xdr:row>
                    <xdr:rowOff>165100</xdr:rowOff>
                  </from>
                  <to>
                    <xdr:col>1</xdr:col>
                    <xdr:colOff>1098550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</xdr:col>
                    <xdr:colOff>12700</xdr:colOff>
                    <xdr:row>22</xdr:row>
                    <xdr:rowOff>69850</xdr:rowOff>
                  </from>
                  <to>
                    <xdr:col>1</xdr:col>
                    <xdr:colOff>831850</xdr:colOff>
                    <xdr:row>23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0</xdr:col>
                    <xdr:colOff>2946400</xdr:colOff>
                    <xdr:row>24</xdr:row>
                    <xdr:rowOff>184150</xdr:rowOff>
                  </from>
                  <to>
                    <xdr:col>2</xdr:col>
                    <xdr:colOff>292100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0</xdr:col>
                    <xdr:colOff>2952750</xdr:colOff>
                    <xdr:row>25</xdr:row>
                    <xdr:rowOff>184150</xdr:rowOff>
                  </from>
                  <to>
                    <xdr:col>2</xdr:col>
                    <xdr:colOff>304800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0</xdr:col>
                    <xdr:colOff>2952750</xdr:colOff>
                    <xdr:row>26</xdr:row>
                    <xdr:rowOff>184150</xdr:rowOff>
                  </from>
                  <to>
                    <xdr:col>2</xdr:col>
                    <xdr:colOff>304800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</xdr:col>
                    <xdr:colOff>0</xdr:colOff>
                    <xdr:row>18</xdr:row>
                    <xdr:rowOff>12700</xdr:rowOff>
                  </from>
                  <to>
                    <xdr:col>1</xdr:col>
                    <xdr:colOff>1098550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12700</xdr:rowOff>
                  </from>
                  <to>
                    <xdr:col>1</xdr:col>
                    <xdr:colOff>1098550</xdr:colOff>
                    <xdr:row>20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12700</xdr:rowOff>
                  </from>
                  <to>
                    <xdr:col>1</xdr:col>
                    <xdr:colOff>1098550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</xdr:col>
                    <xdr:colOff>12700</xdr:colOff>
                    <xdr:row>21</xdr:row>
                    <xdr:rowOff>50800</xdr:rowOff>
                  </from>
                  <to>
                    <xdr:col>1</xdr:col>
                    <xdr:colOff>1104900</xdr:colOff>
                    <xdr:row>22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31"/>
  <sheetViews>
    <sheetView workbookViewId="0">
      <selection activeCell="U18" sqref="U18"/>
    </sheetView>
  </sheetViews>
  <sheetFormatPr defaultRowHeight="14.5" x14ac:dyDescent="0.35"/>
  <cols>
    <col min="1" max="1" width="56.453125" bestFit="1" customWidth="1"/>
    <col min="2" max="2" width="49" customWidth="1"/>
    <col min="3" max="3" width="47.1796875" customWidth="1"/>
    <col min="4" max="4" width="11" customWidth="1"/>
    <col min="5" max="5" width="11.90625" customWidth="1"/>
    <col min="6" max="6" width="10.54296875" customWidth="1"/>
    <col min="7" max="7" width="12.7265625" customWidth="1"/>
    <col min="8" max="8" width="16.81640625" customWidth="1"/>
    <col min="9" max="9" width="15.453125" customWidth="1"/>
    <col min="10" max="10" width="24.453125" customWidth="1"/>
    <col min="11" max="11" width="18.453125" customWidth="1"/>
  </cols>
  <sheetData>
    <row r="2" spans="1:2" x14ac:dyDescent="0.35">
      <c r="A2" s="1" t="s">
        <v>26</v>
      </c>
    </row>
    <row r="3" spans="1:2" x14ac:dyDescent="0.35">
      <c r="A3" s="1"/>
      <c r="B3" t="s">
        <v>135</v>
      </c>
    </row>
    <row r="4" spans="1:2" x14ac:dyDescent="0.35">
      <c r="A4" s="1"/>
      <c r="B4" t="s">
        <v>136</v>
      </c>
    </row>
    <row r="5" spans="1:2" x14ac:dyDescent="0.35">
      <c r="A5" s="1"/>
      <c r="B5" t="s">
        <v>137</v>
      </c>
    </row>
    <row r="6" spans="1:2" x14ac:dyDescent="0.35">
      <c r="B6" t="s">
        <v>138</v>
      </c>
    </row>
    <row r="7" spans="1:2" x14ac:dyDescent="0.35">
      <c r="A7" s="1" t="s">
        <v>21</v>
      </c>
      <c r="B7">
        <v>1000</v>
      </c>
    </row>
    <row r="9" spans="1:2" x14ac:dyDescent="0.35">
      <c r="A9" s="7" t="s">
        <v>24</v>
      </c>
    </row>
    <row r="10" spans="1:2" x14ac:dyDescent="0.35">
      <c r="B10" t="s">
        <v>139</v>
      </c>
    </row>
    <row r="11" spans="1:2" x14ac:dyDescent="0.35">
      <c r="A11" s="1" t="s">
        <v>23</v>
      </c>
    </row>
    <row r="13" spans="1:2" x14ac:dyDescent="0.35">
      <c r="A13" s="1" t="s">
        <v>25</v>
      </c>
    </row>
    <row r="14" spans="1:2" x14ac:dyDescent="0.35">
      <c r="B14" t="s">
        <v>140</v>
      </c>
    </row>
    <row r="15" spans="1:2" x14ac:dyDescent="0.35">
      <c r="A15" s="1" t="s">
        <v>20</v>
      </c>
      <c r="B15">
        <v>6</v>
      </c>
    </row>
    <row r="16" spans="1:2" x14ac:dyDescent="0.35">
      <c r="A16" t="s">
        <v>27</v>
      </c>
    </row>
    <row r="17" spans="1:11" x14ac:dyDescent="0.35">
      <c r="B17" t="s">
        <v>141</v>
      </c>
      <c r="C17" t="s">
        <v>142</v>
      </c>
      <c r="D17" s="16" t="s">
        <v>143</v>
      </c>
      <c r="E17" s="16"/>
      <c r="F17" s="16"/>
      <c r="G17" s="16"/>
      <c r="H17" t="s">
        <v>144</v>
      </c>
      <c r="I17" t="s">
        <v>146</v>
      </c>
    </row>
    <row r="18" spans="1:11" x14ac:dyDescent="0.35">
      <c r="D18" t="s">
        <v>155</v>
      </c>
      <c r="E18" t="s">
        <v>156</v>
      </c>
      <c r="F18" t="s">
        <v>157</v>
      </c>
      <c r="G18" t="s">
        <v>158</v>
      </c>
    </row>
    <row r="19" spans="1:11" x14ac:dyDescent="0.35">
      <c r="A19">
        <v>1</v>
      </c>
      <c r="B19" t="s">
        <v>147</v>
      </c>
      <c r="C19" t="s">
        <v>149</v>
      </c>
      <c r="D19">
        <v>20</v>
      </c>
      <c r="E19">
        <v>0.67064500000000005</v>
      </c>
      <c r="F19">
        <v>100</v>
      </c>
      <c r="G19">
        <v>3.48299</v>
      </c>
      <c r="H19" t="s">
        <v>145</v>
      </c>
      <c r="I19" t="s">
        <v>148</v>
      </c>
    </row>
    <row r="20" spans="1:11" x14ac:dyDescent="0.35">
      <c r="A20">
        <v>2</v>
      </c>
      <c r="B20" t="s">
        <v>147</v>
      </c>
      <c r="C20" t="s">
        <v>150</v>
      </c>
      <c r="D20">
        <v>20</v>
      </c>
      <c r="E20">
        <v>0.69903999999999999</v>
      </c>
      <c r="F20">
        <v>100</v>
      </c>
      <c r="G20">
        <v>3.5295000000000001</v>
      </c>
      <c r="H20" t="s">
        <v>145</v>
      </c>
      <c r="I20" t="s">
        <v>148</v>
      </c>
    </row>
    <row r="21" spans="1:11" x14ac:dyDescent="0.35">
      <c r="A21">
        <v>3</v>
      </c>
      <c r="B21" t="s">
        <v>147</v>
      </c>
      <c r="C21" t="s">
        <v>151</v>
      </c>
      <c r="D21">
        <v>20</v>
      </c>
      <c r="E21">
        <v>0.72175199999999995</v>
      </c>
      <c r="F21">
        <v>100</v>
      </c>
      <c r="G21">
        <v>3.6043500000000002</v>
      </c>
      <c r="H21" t="s">
        <v>145</v>
      </c>
      <c r="I21" t="s">
        <v>148</v>
      </c>
    </row>
    <row r="22" spans="1:11" x14ac:dyDescent="0.35">
      <c r="A22">
        <v>4</v>
      </c>
      <c r="B22" t="s">
        <v>147</v>
      </c>
      <c r="C22" t="s">
        <v>152</v>
      </c>
      <c r="D22">
        <v>20</v>
      </c>
      <c r="E22">
        <v>0.69682699999999997</v>
      </c>
      <c r="F22">
        <v>100</v>
      </c>
      <c r="G22">
        <v>3.53721</v>
      </c>
      <c r="H22" t="s">
        <v>145</v>
      </c>
      <c r="I22" t="s">
        <v>148</v>
      </c>
    </row>
    <row r="23" spans="1:11" x14ac:dyDescent="0.35">
      <c r="A23">
        <v>5</v>
      </c>
      <c r="B23" t="s">
        <v>147</v>
      </c>
      <c r="C23" t="s">
        <v>153</v>
      </c>
      <c r="D23">
        <v>20</v>
      </c>
      <c r="E23">
        <v>0.71939900000000001</v>
      </c>
      <c r="F23">
        <v>100</v>
      </c>
      <c r="G23">
        <v>3.5893199999999998</v>
      </c>
      <c r="H23" t="s">
        <v>145</v>
      </c>
      <c r="I23" t="s">
        <v>148</v>
      </c>
    </row>
    <row r="24" spans="1:11" x14ac:dyDescent="0.35">
      <c r="A24">
        <v>6</v>
      </c>
      <c r="B24" t="s">
        <v>147</v>
      </c>
      <c r="C24" t="s">
        <v>154</v>
      </c>
      <c r="D24">
        <v>20</v>
      </c>
      <c r="E24">
        <v>0.66333900000000001</v>
      </c>
      <c r="F24">
        <v>100</v>
      </c>
      <c r="G24">
        <v>3.5103499999999999</v>
      </c>
      <c r="H24" t="s">
        <v>145</v>
      </c>
      <c r="I24" t="s">
        <v>148</v>
      </c>
    </row>
    <row r="25" spans="1:11" x14ac:dyDescent="0.35">
      <c r="A25" s="1" t="s">
        <v>22</v>
      </c>
      <c r="B25">
        <v>3</v>
      </c>
    </row>
    <row r="26" spans="1:11" x14ac:dyDescent="0.35">
      <c r="A26" t="s">
        <v>28</v>
      </c>
    </row>
    <row r="27" spans="1:11" x14ac:dyDescent="0.35">
      <c r="B27" t="s">
        <v>141</v>
      </c>
      <c r="C27" t="s">
        <v>142</v>
      </c>
      <c r="D27" s="16" t="s">
        <v>143</v>
      </c>
      <c r="E27" s="16"/>
      <c r="F27" s="16"/>
      <c r="G27" s="16"/>
      <c r="H27" t="s">
        <v>169</v>
      </c>
      <c r="I27" t="s">
        <v>146</v>
      </c>
      <c r="J27" t="s">
        <v>171</v>
      </c>
      <c r="K27" t="s">
        <v>159</v>
      </c>
    </row>
    <row r="28" spans="1:11" x14ac:dyDescent="0.35">
      <c r="D28" t="s">
        <v>160</v>
      </c>
      <c r="E28" t="s">
        <v>167</v>
      </c>
      <c r="F28" t="s">
        <v>161</v>
      </c>
      <c r="G28" t="s">
        <v>166</v>
      </c>
    </row>
    <row r="29" spans="1:11" x14ac:dyDescent="0.35">
      <c r="A29">
        <v>1</v>
      </c>
      <c r="B29" t="s">
        <v>162</v>
      </c>
      <c r="C29" t="s">
        <v>164</v>
      </c>
      <c r="D29">
        <v>0</v>
      </c>
      <c r="E29">
        <v>0</v>
      </c>
      <c r="F29">
        <v>1</v>
      </c>
      <c r="G29">
        <v>20</v>
      </c>
      <c r="H29" t="s">
        <v>170</v>
      </c>
      <c r="J29" s="12" t="s">
        <v>172</v>
      </c>
      <c r="K29">
        <v>50</v>
      </c>
    </row>
    <row r="30" spans="1:11" x14ac:dyDescent="0.35">
      <c r="A30">
        <v>2</v>
      </c>
      <c r="B30" t="s">
        <v>163</v>
      </c>
      <c r="C30" t="s">
        <v>165</v>
      </c>
      <c r="D30">
        <v>0</v>
      </c>
      <c r="E30">
        <v>0</v>
      </c>
      <c r="F30">
        <v>1</v>
      </c>
      <c r="G30">
        <v>10</v>
      </c>
      <c r="H30" t="s">
        <v>168</v>
      </c>
      <c r="J30" s="12" t="s">
        <v>172</v>
      </c>
      <c r="K30">
        <v>25</v>
      </c>
    </row>
    <row r="31" spans="1:11" x14ac:dyDescent="0.35">
      <c r="A31">
        <v>3</v>
      </c>
      <c r="B31" t="s">
        <v>162</v>
      </c>
      <c r="C31" t="s">
        <v>154</v>
      </c>
      <c r="D31">
        <v>0</v>
      </c>
      <c r="E31">
        <v>0</v>
      </c>
      <c r="F31">
        <v>1</v>
      </c>
      <c r="G31">
        <v>20</v>
      </c>
      <c r="H31" t="s">
        <v>170</v>
      </c>
      <c r="J31" s="12" t="s">
        <v>172</v>
      </c>
      <c r="K31">
        <v>50</v>
      </c>
    </row>
  </sheetData>
  <mergeCells count="2">
    <mergeCell ref="D17:G17"/>
    <mergeCell ref="D27:G27"/>
  </mergeCells>
  <phoneticPr fontId="1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E8CE-DE2E-4CD8-A0F1-64FA424AD371}">
  <dimension ref="A2:G27"/>
  <sheetViews>
    <sheetView workbookViewId="0">
      <selection activeCell="F17" sqref="F17"/>
    </sheetView>
  </sheetViews>
  <sheetFormatPr defaultRowHeight="14.5" x14ac:dyDescent="0.35"/>
  <cols>
    <col min="1" max="1" width="25" bestFit="1" customWidth="1"/>
  </cols>
  <sheetData>
    <row r="2" spans="1:1" x14ac:dyDescent="0.35">
      <c r="A2" s="1" t="s">
        <v>30</v>
      </c>
    </row>
    <row r="4" spans="1:1" x14ac:dyDescent="0.35">
      <c r="A4" s="1" t="s">
        <v>33</v>
      </c>
    </row>
    <row r="5" spans="1:1" x14ac:dyDescent="0.35">
      <c r="A5" s="9" t="s">
        <v>131</v>
      </c>
    </row>
    <row r="6" spans="1:1" x14ac:dyDescent="0.35">
      <c r="A6" s="9" t="s">
        <v>131</v>
      </c>
    </row>
    <row r="7" spans="1:1" x14ac:dyDescent="0.35">
      <c r="A7" s="9" t="s">
        <v>131</v>
      </c>
    </row>
    <row r="8" spans="1:1" x14ac:dyDescent="0.35">
      <c r="A8" s="9" t="s">
        <v>131</v>
      </c>
    </row>
    <row r="9" spans="1:1" x14ac:dyDescent="0.35">
      <c r="A9" s="9" t="s">
        <v>131</v>
      </c>
    </row>
    <row r="12" spans="1:1" x14ac:dyDescent="0.35">
      <c r="A12" t="s">
        <v>32</v>
      </c>
    </row>
    <row r="24" spans="1:7" x14ac:dyDescent="0.35">
      <c r="A24" s="10" t="s">
        <v>132</v>
      </c>
      <c r="B24" s="10"/>
      <c r="C24" s="10"/>
      <c r="D24" s="10"/>
      <c r="E24" s="10"/>
      <c r="F24" s="10"/>
      <c r="G24" s="10"/>
    </row>
    <row r="25" spans="1:7" x14ac:dyDescent="0.35">
      <c r="A25" s="10"/>
      <c r="B25" s="10" t="s">
        <v>173</v>
      </c>
      <c r="C25" s="10"/>
      <c r="D25" s="10"/>
      <c r="E25" s="10"/>
      <c r="F25" s="10"/>
      <c r="G25" s="10"/>
    </row>
    <row r="26" spans="1:7" x14ac:dyDescent="0.35">
      <c r="A26" s="10" t="s">
        <v>133</v>
      </c>
      <c r="B26" s="10"/>
      <c r="C26" s="10"/>
      <c r="D26" s="10"/>
      <c r="E26" s="10"/>
      <c r="F26" s="10"/>
      <c r="G26" s="10"/>
    </row>
    <row r="27" spans="1:7" x14ac:dyDescent="0.35">
      <c r="A27" s="10"/>
      <c r="B27" s="10"/>
      <c r="C27" s="10"/>
      <c r="D27" s="10"/>
      <c r="E27" s="10"/>
      <c r="F27" s="10"/>
      <c r="G27" s="10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6</xdr:row>
                    <xdr:rowOff>12700</xdr:rowOff>
                  </from>
                  <to>
                    <xdr:col>2</xdr:col>
                    <xdr:colOff>508000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>
                <anchor moveWithCells="1">
                  <from>
                    <xdr:col>1</xdr:col>
                    <xdr:colOff>31750</xdr:colOff>
                    <xdr:row>4</xdr:row>
                    <xdr:rowOff>171450</xdr:rowOff>
                  </from>
                  <to>
                    <xdr:col>3</xdr:col>
                    <xdr:colOff>279400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Check Box 3">
              <controlPr defaultSize="0" autoFill="0" autoLine="0" autoPict="0">
                <anchor moveWithCells="1">
                  <from>
                    <xdr:col>1</xdr:col>
                    <xdr:colOff>495300</xdr:colOff>
                    <xdr:row>55</xdr:row>
                    <xdr:rowOff>184150</xdr:rowOff>
                  </from>
                  <to>
                    <xdr:col>3</xdr:col>
                    <xdr:colOff>374650</xdr:colOff>
                    <xdr:row>57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defaultSize="0" autoFill="0" autoLine="0" autoPict="0">
                <anchor moveWithCells="1">
                  <from>
                    <xdr:col>2</xdr:col>
                    <xdr:colOff>38100</xdr:colOff>
                    <xdr:row>56</xdr:row>
                    <xdr:rowOff>146050</xdr:rowOff>
                  </from>
                  <to>
                    <xdr:col>3</xdr:col>
                    <xdr:colOff>527050</xdr:colOff>
                    <xdr:row>57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Check Box 5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12700</xdr:rowOff>
                  </from>
                  <to>
                    <xdr:col>2</xdr:col>
                    <xdr:colOff>508000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8" name="Check Box 6">
              <controlPr defaultSize="0" autoFill="0" autoLine="0" autoPict="0">
                <anchor moveWithCells="1">
                  <from>
                    <xdr:col>1</xdr:col>
                    <xdr:colOff>31750</xdr:colOff>
                    <xdr:row>4</xdr:row>
                    <xdr:rowOff>0</xdr:rowOff>
                  </from>
                  <to>
                    <xdr:col>2</xdr:col>
                    <xdr:colOff>514350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9" name="Check Box 13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165100</xdr:rowOff>
                  </from>
                  <to>
                    <xdr:col>2</xdr:col>
                    <xdr:colOff>266700</xdr:colOff>
                    <xdr:row>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0" name="Check Box 14">
              <controlPr defaultSize="0" autoFill="0" autoLine="0" autoPict="0">
                <anchor moveWithCells="1">
                  <from>
                    <xdr:col>1</xdr:col>
                    <xdr:colOff>12700</xdr:colOff>
                    <xdr:row>9</xdr:row>
                    <xdr:rowOff>152400</xdr:rowOff>
                  </from>
                  <to>
                    <xdr:col>3</xdr:col>
                    <xdr:colOff>438150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1" name="Check Box 15">
              <controlPr defaultSize="0" autoFill="0" autoLine="0" autoPict="0">
                <anchor moveWithCells="1">
                  <from>
                    <xdr:col>1</xdr:col>
                    <xdr:colOff>12700</xdr:colOff>
                    <xdr:row>10</xdr:row>
                    <xdr:rowOff>152400</xdr:rowOff>
                  </from>
                  <to>
                    <xdr:col>3</xdr:col>
                    <xdr:colOff>431800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2" name="Check Box 16">
              <controlPr defaultSize="0" autoFill="0" autoLine="0" autoPict="0">
                <anchor moveWithCells="1">
                  <from>
                    <xdr:col>0</xdr:col>
                    <xdr:colOff>1733550</xdr:colOff>
                    <xdr:row>11</xdr:row>
                    <xdr:rowOff>165100</xdr:rowOff>
                  </from>
                  <to>
                    <xdr:col>3</xdr:col>
                    <xdr:colOff>412750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3" name="Check Box 17">
              <controlPr defaultSize="0" autoFill="0" autoLine="0" autoPict="0">
                <anchor moveWithCells="1">
                  <from>
                    <xdr:col>0</xdr:col>
                    <xdr:colOff>1746250</xdr:colOff>
                    <xdr:row>12</xdr:row>
                    <xdr:rowOff>152400</xdr:rowOff>
                  </from>
                  <to>
                    <xdr:col>3</xdr:col>
                    <xdr:colOff>419100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14" name="Check Box 18">
              <controlPr defaultSize="0" autoFill="0" autoLine="0" autoPict="0">
                <anchor moveWithCells="1">
                  <from>
                    <xdr:col>0</xdr:col>
                    <xdr:colOff>1746250</xdr:colOff>
                    <xdr:row>13</xdr:row>
                    <xdr:rowOff>165100</xdr:rowOff>
                  </from>
                  <to>
                    <xdr:col>3</xdr:col>
                    <xdr:colOff>419100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15" name="Check Box 19">
              <controlPr defaultSize="0" autoFill="0" autoLine="0" autoPict="0">
                <anchor moveWithCells="1">
                  <from>
                    <xdr:col>0</xdr:col>
                    <xdr:colOff>1727200</xdr:colOff>
                    <xdr:row>14</xdr:row>
                    <xdr:rowOff>184150</xdr:rowOff>
                  </from>
                  <to>
                    <xdr:col>3</xdr:col>
                    <xdr:colOff>412750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6" name="Check Box 20">
              <controlPr defaultSize="0" autoFill="0" autoLine="0" autoPict="0">
                <anchor moveWithCells="1">
                  <from>
                    <xdr:col>0</xdr:col>
                    <xdr:colOff>1727200</xdr:colOff>
                    <xdr:row>15</xdr:row>
                    <xdr:rowOff>184150</xdr:rowOff>
                  </from>
                  <to>
                    <xdr:col>4</xdr:col>
                    <xdr:colOff>336550</xdr:colOff>
                    <xdr:row>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17" name="Check Box 21">
              <controlPr defaultSize="0" autoFill="0" autoLine="0" autoPict="0">
                <anchor moveWithCells="1">
                  <from>
                    <xdr:col>0</xdr:col>
                    <xdr:colOff>1733550</xdr:colOff>
                    <xdr:row>16</xdr:row>
                    <xdr:rowOff>171450</xdr:rowOff>
                  </from>
                  <to>
                    <xdr:col>3</xdr:col>
                    <xdr:colOff>412750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18" name="Check Box 22">
              <controlPr defaultSize="0" autoFill="0" autoLine="0" autoPict="0">
                <anchor moveWithCells="1">
                  <from>
                    <xdr:col>0</xdr:col>
                    <xdr:colOff>1746250</xdr:colOff>
                    <xdr:row>18</xdr:row>
                    <xdr:rowOff>0</xdr:rowOff>
                  </from>
                  <to>
                    <xdr:col>3</xdr:col>
                    <xdr:colOff>419100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19" name="Check Box 23">
              <controlPr defaultSize="0" autoFill="0" autoLine="0" autoPict="0">
                <anchor moveWithCells="1">
                  <from>
                    <xdr:col>0</xdr:col>
                    <xdr:colOff>1746250</xdr:colOff>
                    <xdr:row>19</xdr:row>
                    <xdr:rowOff>12700</xdr:rowOff>
                  </from>
                  <to>
                    <xdr:col>3</xdr:col>
                    <xdr:colOff>412750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0" name="Check Box 24">
              <controlPr defaultSize="0" autoFill="0" autoLine="0" autoPict="0">
                <anchor moveWithCells="1">
                  <from>
                    <xdr:col>0</xdr:col>
                    <xdr:colOff>1733550</xdr:colOff>
                    <xdr:row>20</xdr:row>
                    <xdr:rowOff>12700</xdr:rowOff>
                  </from>
                  <to>
                    <xdr:col>3</xdr:col>
                    <xdr:colOff>412750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1" name="Check Box 25">
              <controlPr defaultSize="0" autoFill="0" autoLine="0" autoPict="0">
                <anchor moveWithCells="1">
                  <from>
                    <xdr:col>0</xdr:col>
                    <xdr:colOff>1733550</xdr:colOff>
                    <xdr:row>20</xdr:row>
                    <xdr:rowOff>184150</xdr:rowOff>
                  </from>
                  <to>
                    <xdr:col>3</xdr:col>
                    <xdr:colOff>412750</xdr:colOff>
                    <xdr:row>22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143C-FB3B-4F88-92A8-609AC989989C}">
  <dimension ref="A1:B123"/>
  <sheetViews>
    <sheetView tabSelected="1" topLeftCell="A100" workbookViewId="0">
      <selection activeCell="B106" sqref="B106"/>
    </sheetView>
  </sheetViews>
  <sheetFormatPr defaultRowHeight="14.5" x14ac:dyDescent="0.35"/>
  <cols>
    <col min="1" max="1" width="52.90625" bestFit="1" customWidth="1"/>
    <col min="2" max="2" width="16.26953125" customWidth="1"/>
  </cols>
  <sheetData>
    <row r="1" spans="1:2" x14ac:dyDescent="0.35">
      <c r="A1" s="1" t="s">
        <v>0</v>
      </c>
    </row>
    <row r="2" spans="1:2" x14ac:dyDescent="0.35">
      <c r="A2" t="s">
        <v>41</v>
      </c>
      <c r="B2" t="b">
        <v>1</v>
      </c>
    </row>
    <row r="3" spans="1:2" x14ac:dyDescent="0.35">
      <c r="A3" t="s">
        <v>42</v>
      </c>
      <c r="B3" t="b">
        <v>0</v>
      </c>
    </row>
    <row r="4" spans="1:2" x14ac:dyDescent="0.35">
      <c r="A4" t="s">
        <v>43</v>
      </c>
      <c r="B4" t="b">
        <v>0</v>
      </c>
    </row>
    <row r="6" spans="1:2" x14ac:dyDescent="0.35">
      <c r="A6" s="1" t="s">
        <v>1</v>
      </c>
    </row>
    <row r="7" spans="1:2" x14ac:dyDescent="0.35">
      <c r="A7" t="s">
        <v>44</v>
      </c>
      <c r="B7" t="b">
        <v>0</v>
      </c>
    </row>
    <row r="8" spans="1:2" x14ac:dyDescent="0.35">
      <c r="A8" t="s">
        <v>45</v>
      </c>
      <c r="B8" t="b">
        <v>0</v>
      </c>
    </row>
    <row r="9" spans="1:2" x14ac:dyDescent="0.35">
      <c r="A9" t="s">
        <v>46</v>
      </c>
      <c r="B9" t="b">
        <v>0</v>
      </c>
    </row>
    <row r="10" spans="1:2" x14ac:dyDescent="0.35">
      <c r="A10" t="s">
        <v>47</v>
      </c>
      <c r="B10" t="b">
        <v>1</v>
      </c>
    </row>
    <row r="11" spans="1:2" x14ac:dyDescent="0.35">
      <c r="A11" t="s">
        <v>48</v>
      </c>
      <c r="B11" t="b">
        <v>0</v>
      </c>
    </row>
    <row r="12" spans="1:2" x14ac:dyDescent="0.35">
      <c r="A12" t="s">
        <v>49</v>
      </c>
      <c r="B12" t="b">
        <v>0</v>
      </c>
    </row>
    <row r="14" spans="1:2" x14ac:dyDescent="0.35">
      <c r="A14" s="1" t="s">
        <v>12</v>
      </c>
    </row>
    <row r="15" spans="1:2" x14ac:dyDescent="0.35">
      <c r="A15" t="s">
        <v>50</v>
      </c>
      <c r="B15" t="b">
        <v>1</v>
      </c>
    </row>
    <row r="16" spans="1:2" x14ac:dyDescent="0.35">
      <c r="A16" t="s">
        <v>51</v>
      </c>
      <c r="B16" t="b">
        <v>1</v>
      </c>
    </row>
    <row r="17" spans="1:2" x14ac:dyDescent="0.35">
      <c r="A17" t="s">
        <v>52</v>
      </c>
      <c r="B17" t="b">
        <v>0</v>
      </c>
    </row>
    <row r="18" spans="1:2" x14ac:dyDescent="0.35">
      <c r="A18" t="s">
        <v>53</v>
      </c>
      <c r="B18" t="b">
        <v>0</v>
      </c>
    </row>
    <row r="20" spans="1:2" s="14" customFormat="1" x14ac:dyDescent="0.35">
      <c r="A20" s="13" t="s">
        <v>11</v>
      </c>
      <c r="B20" s="14" t="str">
        <f>'Simulator description'!B20</f>
        <v>#</v>
      </c>
    </row>
    <row r="21" spans="1:2" x14ac:dyDescent="0.35">
      <c r="A21" s="1" t="s">
        <v>3</v>
      </c>
    </row>
    <row r="22" spans="1:2" x14ac:dyDescent="0.35">
      <c r="A22" t="s">
        <v>54</v>
      </c>
      <c r="B22" t="b">
        <v>1</v>
      </c>
    </row>
    <row r="23" spans="1:2" x14ac:dyDescent="0.35">
      <c r="A23" s="8" t="s">
        <v>55</v>
      </c>
      <c r="B23" t="b">
        <v>1</v>
      </c>
    </row>
    <row r="24" spans="1:2" x14ac:dyDescent="0.35">
      <c r="A24" s="8" t="s">
        <v>56</v>
      </c>
      <c r="B24" t="b">
        <v>0</v>
      </c>
    </row>
    <row r="25" spans="1:2" x14ac:dyDescent="0.35">
      <c r="A25" s="8" t="s">
        <v>57</v>
      </c>
      <c r="B25" t="b">
        <v>0</v>
      </c>
    </row>
    <row r="26" spans="1:2" x14ac:dyDescent="0.35">
      <c r="A26" t="s">
        <v>58</v>
      </c>
      <c r="B26" t="b">
        <v>1</v>
      </c>
    </row>
    <row r="27" spans="1:2" x14ac:dyDescent="0.35">
      <c r="A27" t="s">
        <v>59</v>
      </c>
      <c r="B27" t="b">
        <v>0</v>
      </c>
    </row>
    <row r="28" spans="1:2" x14ac:dyDescent="0.35">
      <c r="A28" t="s">
        <v>60</v>
      </c>
      <c r="B28" t="b">
        <v>0</v>
      </c>
    </row>
    <row r="29" spans="1:2" x14ac:dyDescent="0.35">
      <c r="A29" t="s">
        <v>61</v>
      </c>
      <c r="B29" t="b">
        <v>0</v>
      </c>
    </row>
    <row r="30" spans="1:2" x14ac:dyDescent="0.35">
      <c r="A30" t="s">
        <v>62</v>
      </c>
      <c r="B30" t="b">
        <v>0</v>
      </c>
    </row>
    <row r="31" spans="1:2" x14ac:dyDescent="0.35">
      <c r="A31" t="s">
        <v>63</v>
      </c>
      <c r="B31" t="b">
        <v>0</v>
      </c>
    </row>
    <row r="32" spans="1:2" x14ac:dyDescent="0.35">
      <c r="A32" t="s">
        <v>64</v>
      </c>
      <c r="B32" t="b">
        <v>1</v>
      </c>
    </row>
    <row r="33" spans="1:2" x14ac:dyDescent="0.35">
      <c r="A33" t="s">
        <v>65</v>
      </c>
      <c r="B33" t="b">
        <v>1</v>
      </c>
    </row>
    <row r="34" spans="1:2" x14ac:dyDescent="0.35">
      <c r="A34" t="s">
        <v>66</v>
      </c>
      <c r="B34" t="b">
        <v>1</v>
      </c>
    </row>
    <row r="35" spans="1:2" x14ac:dyDescent="0.35">
      <c r="A35" t="s">
        <v>67</v>
      </c>
      <c r="B35" t="b">
        <v>0</v>
      </c>
    </row>
    <row r="36" spans="1:2" x14ac:dyDescent="0.35">
      <c r="A36" t="s">
        <v>68</v>
      </c>
      <c r="B36" t="b">
        <v>0</v>
      </c>
    </row>
    <row r="38" spans="1:2" x14ac:dyDescent="0.35">
      <c r="A38" s="1" t="s">
        <v>4</v>
      </c>
    </row>
    <row r="39" spans="1:2" x14ac:dyDescent="0.35">
      <c r="A39" t="s">
        <v>69</v>
      </c>
      <c r="B39" t="b">
        <v>0</v>
      </c>
    </row>
    <row r="40" spans="1:2" x14ac:dyDescent="0.35">
      <c r="A40" t="s">
        <v>70</v>
      </c>
      <c r="B40" t="b">
        <v>1</v>
      </c>
    </row>
    <row r="41" spans="1:2" x14ac:dyDescent="0.35">
      <c r="A41" t="s">
        <v>71</v>
      </c>
      <c r="B41" t="b">
        <v>0</v>
      </c>
    </row>
    <row r="42" spans="1:2" x14ac:dyDescent="0.35">
      <c r="A42" t="s">
        <v>72</v>
      </c>
      <c r="B42" t="b">
        <v>1</v>
      </c>
    </row>
    <row r="43" spans="1:2" x14ac:dyDescent="0.35">
      <c r="A43" t="s">
        <v>73</v>
      </c>
      <c r="B43" t="b">
        <v>1</v>
      </c>
    </row>
    <row r="44" spans="1:2" x14ac:dyDescent="0.35">
      <c r="A44" t="s">
        <v>74</v>
      </c>
      <c r="B44" t="b">
        <v>0</v>
      </c>
    </row>
    <row r="45" spans="1:2" x14ac:dyDescent="0.35">
      <c r="A45" t="s">
        <v>75</v>
      </c>
      <c r="B45" t="b">
        <v>0</v>
      </c>
    </row>
    <row r="46" spans="1:2" x14ac:dyDescent="0.35">
      <c r="A46" s="8" t="s">
        <v>76</v>
      </c>
      <c r="B46" t="b">
        <v>0</v>
      </c>
    </row>
    <row r="47" spans="1:2" x14ac:dyDescent="0.35">
      <c r="A47" s="8" t="s">
        <v>77</v>
      </c>
      <c r="B47" t="b">
        <v>0</v>
      </c>
    </row>
    <row r="48" spans="1:2" x14ac:dyDescent="0.35">
      <c r="A48" t="s">
        <v>78</v>
      </c>
      <c r="B48" t="b">
        <v>0</v>
      </c>
    </row>
    <row r="49" spans="1:2" x14ac:dyDescent="0.35">
      <c r="A49" s="8" t="s">
        <v>79</v>
      </c>
      <c r="B49" t="b">
        <v>0</v>
      </c>
    </row>
    <row r="50" spans="1:2" x14ac:dyDescent="0.35">
      <c r="A50" s="8" t="s">
        <v>80</v>
      </c>
      <c r="B50" t="b">
        <v>0</v>
      </c>
    </row>
    <row r="51" spans="1:2" x14ac:dyDescent="0.35">
      <c r="A51" t="s">
        <v>81</v>
      </c>
      <c r="B51" t="b">
        <v>0</v>
      </c>
    </row>
    <row r="52" spans="1:2" x14ac:dyDescent="0.35">
      <c r="A52" t="s">
        <v>82</v>
      </c>
      <c r="B52" t="b">
        <v>0</v>
      </c>
    </row>
    <row r="53" spans="1:2" x14ac:dyDescent="0.35">
      <c r="A53" t="s">
        <v>83</v>
      </c>
      <c r="B53" t="b">
        <v>0</v>
      </c>
    </row>
    <row r="54" spans="1:2" x14ac:dyDescent="0.35">
      <c r="A54" t="s">
        <v>84</v>
      </c>
      <c r="B54" t="b">
        <v>0</v>
      </c>
    </row>
    <row r="55" spans="1:2" x14ac:dyDescent="0.35">
      <c r="A55" t="s">
        <v>85</v>
      </c>
      <c r="B55" t="b">
        <v>0</v>
      </c>
    </row>
    <row r="56" spans="1:2" x14ac:dyDescent="0.35">
      <c r="A56" t="s">
        <v>86</v>
      </c>
      <c r="B56" t="b">
        <v>0</v>
      </c>
    </row>
    <row r="57" spans="1:2" x14ac:dyDescent="0.35">
      <c r="A57" t="s">
        <v>87</v>
      </c>
      <c r="B57" t="b">
        <v>0</v>
      </c>
    </row>
    <row r="58" spans="1:2" x14ac:dyDescent="0.35">
      <c r="A58" t="s">
        <v>88</v>
      </c>
      <c r="B58" t="b">
        <v>0</v>
      </c>
    </row>
    <row r="59" spans="1:2" x14ac:dyDescent="0.35">
      <c r="A59" s="1" t="s">
        <v>6</v>
      </c>
      <c r="B59" t="str">
        <f>'Simulator description'!B59</f>
        <v>#</v>
      </c>
    </row>
    <row r="60" spans="1:2" s="14" customFormat="1" x14ac:dyDescent="0.35">
      <c r="A60" s="13" t="s">
        <v>31</v>
      </c>
    </row>
    <row r="61" spans="1:2" x14ac:dyDescent="0.35">
      <c r="A61" t="s">
        <v>89</v>
      </c>
      <c r="B61" t="b">
        <v>0</v>
      </c>
    </row>
    <row r="62" spans="1:2" x14ac:dyDescent="0.35">
      <c r="A62" t="s">
        <v>90</v>
      </c>
      <c r="B62" t="b">
        <v>0</v>
      </c>
    </row>
    <row r="63" spans="1:2" x14ac:dyDescent="0.35">
      <c r="A63" s="4" t="s">
        <v>7</v>
      </c>
    </row>
    <row r="64" spans="1:2" x14ac:dyDescent="0.35">
      <c r="A64" t="s">
        <v>91</v>
      </c>
      <c r="B64" t="b">
        <v>1</v>
      </c>
    </row>
    <row r="65" spans="1:2" x14ac:dyDescent="0.35">
      <c r="A65" t="s">
        <v>92</v>
      </c>
      <c r="B65" t="b">
        <v>0</v>
      </c>
    </row>
    <row r="66" spans="1:2" x14ac:dyDescent="0.35">
      <c r="A66" t="s">
        <v>93</v>
      </c>
      <c r="B66" t="b">
        <v>0</v>
      </c>
    </row>
    <row r="67" spans="1:2" x14ac:dyDescent="0.35">
      <c r="A67" t="s">
        <v>94</v>
      </c>
      <c r="B67" t="b">
        <v>0</v>
      </c>
    </row>
    <row r="68" spans="1:2" x14ac:dyDescent="0.35">
      <c r="A68" t="s">
        <v>95</v>
      </c>
      <c r="B68" t="b">
        <v>0</v>
      </c>
    </row>
    <row r="69" spans="1:2" x14ac:dyDescent="0.35">
      <c r="A69" t="s">
        <v>96</v>
      </c>
      <c r="B69" t="b">
        <v>0</v>
      </c>
    </row>
    <row r="70" spans="1:2" x14ac:dyDescent="0.35">
      <c r="A70" t="s">
        <v>97</v>
      </c>
      <c r="B70" t="b">
        <v>0</v>
      </c>
    </row>
    <row r="71" spans="1:2" x14ac:dyDescent="0.35">
      <c r="A71" t="s">
        <v>34</v>
      </c>
      <c r="B71" t="b">
        <v>0</v>
      </c>
    </row>
    <row r="73" spans="1:2" x14ac:dyDescent="0.35">
      <c r="A73" s="1" t="s">
        <v>9</v>
      </c>
      <c r="B73">
        <f>'Hardware description'!B1</f>
        <v>1</v>
      </c>
    </row>
    <row r="74" spans="1:2" x14ac:dyDescent="0.35">
      <c r="A74" s="1" t="s">
        <v>10</v>
      </c>
    </row>
    <row r="75" spans="1:2" s="14" customFormat="1" x14ac:dyDescent="0.35">
      <c r="A75" s="14" t="s">
        <v>98</v>
      </c>
      <c r="B75" s="14" t="b">
        <v>1</v>
      </c>
    </row>
    <row r="76" spans="1:2" x14ac:dyDescent="0.35">
      <c r="A76" t="s">
        <v>99</v>
      </c>
      <c r="B76" t="b">
        <v>0</v>
      </c>
    </row>
    <row r="77" spans="1:2" x14ac:dyDescent="0.35">
      <c r="A77" t="s">
        <v>100</v>
      </c>
      <c r="B77" t="b">
        <v>0</v>
      </c>
    </row>
    <row r="78" spans="1:2" x14ac:dyDescent="0.35">
      <c r="A78" t="s">
        <v>88</v>
      </c>
      <c r="B78" t="b">
        <v>0</v>
      </c>
    </row>
    <row r="80" spans="1:2" x14ac:dyDescent="0.35">
      <c r="A80" s="1" t="s">
        <v>13</v>
      </c>
    </row>
    <row r="81" spans="1:2" x14ac:dyDescent="0.35">
      <c r="A81" t="s">
        <v>101</v>
      </c>
      <c r="B81" t="b">
        <v>0</v>
      </c>
    </row>
    <row r="82" spans="1:2" x14ac:dyDescent="0.35">
      <c r="A82" t="s">
        <v>102</v>
      </c>
      <c r="B82" t="b">
        <v>0</v>
      </c>
    </row>
    <row r="83" spans="1:2" x14ac:dyDescent="0.35">
      <c r="A83" t="s">
        <v>103</v>
      </c>
      <c r="B83" t="b">
        <v>1</v>
      </c>
    </row>
    <row r="84" spans="1:2" x14ac:dyDescent="0.35">
      <c r="A84" t="s">
        <v>104</v>
      </c>
      <c r="B84" t="b">
        <v>0</v>
      </c>
    </row>
    <row r="85" spans="1:2" x14ac:dyDescent="0.35">
      <c r="A85" t="s">
        <v>105</v>
      </c>
      <c r="B85" t="b">
        <v>0</v>
      </c>
    </row>
    <row r="87" spans="1:2" x14ac:dyDescent="0.35">
      <c r="A87" s="4" t="s">
        <v>14</v>
      </c>
      <c r="B87" t="str">
        <f>'Hardware description'!B15</f>
        <v>#</v>
      </c>
    </row>
    <row r="89" spans="1:2" x14ac:dyDescent="0.35">
      <c r="A89" s="1" t="s">
        <v>5</v>
      </c>
    </row>
    <row r="90" spans="1:2" x14ac:dyDescent="0.35">
      <c r="A90" t="s">
        <v>106</v>
      </c>
      <c r="B90" t="b">
        <v>0</v>
      </c>
    </row>
    <row r="91" spans="1:2" x14ac:dyDescent="0.35">
      <c r="A91" t="s">
        <v>107</v>
      </c>
      <c r="B91" t="b">
        <v>0</v>
      </c>
    </row>
    <row r="92" spans="1:2" x14ac:dyDescent="0.35">
      <c r="A92" t="s">
        <v>108</v>
      </c>
      <c r="B92" t="b">
        <v>0</v>
      </c>
    </row>
    <row r="93" spans="1:2" x14ac:dyDescent="0.35">
      <c r="A93" t="s">
        <v>109</v>
      </c>
      <c r="B93" t="b">
        <v>1</v>
      </c>
    </row>
    <row r="94" spans="1:2" x14ac:dyDescent="0.35">
      <c r="A94" t="s">
        <v>110</v>
      </c>
      <c r="B94" t="b">
        <v>0</v>
      </c>
    </row>
    <row r="95" spans="1:2" x14ac:dyDescent="0.35">
      <c r="A95" t="s">
        <v>88</v>
      </c>
      <c r="B95" t="b">
        <v>0</v>
      </c>
    </row>
    <row r="97" spans="1:2" x14ac:dyDescent="0.35">
      <c r="A97" s="1" t="str">
        <f>'Hardware description'!A25</f>
        <v>Number of compliant elements</v>
      </c>
      <c r="B97">
        <f>'Hardware description'!B25</f>
        <v>1</v>
      </c>
    </row>
    <row r="98" spans="1:2" x14ac:dyDescent="0.35">
      <c r="A98" s="1" t="str">
        <f>'Hardware description'!A26</f>
        <v>Type of compliant elements</v>
      </c>
    </row>
    <row r="99" spans="1:2" x14ac:dyDescent="0.35">
      <c r="A99" t="s">
        <v>111</v>
      </c>
      <c r="B99" t="b">
        <v>1</v>
      </c>
    </row>
    <row r="100" spans="1:2" x14ac:dyDescent="0.35">
      <c r="A100" t="s">
        <v>112</v>
      </c>
      <c r="B100" t="b">
        <v>0</v>
      </c>
    </row>
    <row r="101" spans="1:2" x14ac:dyDescent="0.35">
      <c r="A101" t="s">
        <v>113</v>
      </c>
      <c r="B101" t="b">
        <v>0</v>
      </c>
    </row>
    <row r="103" spans="1:2" x14ac:dyDescent="0.35">
      <c r="A103" s="1" t="str">
        <f>Outputfile!A2</f>
        <v>Format of the acquisition file</v>
      </c>
    </row>
    <row r="104" spans="1:2" x14ac:dyDescent="0.35">
      <c r="B104" t="s">
        <v>174</v>
      </c>
    </row>
    <row r="105" spans="1:2" x14ac:dyDescent="0.35">
      <c r="A105" s="1" t="str">
        <f>Outputfile!A4</f>
        <v>Signals collected (those already selected are mandatory)</v>
      </c>
    </row>
    <row r="106" spans="1:2" x14ac:dyDescent="0.35">
      <c r="A106" t="s">
        <v>114</v>
      </c>
      <c r="B106" t="b">
        <v>1</v>
      </c>
    </row>
    <row r="107" spans="1:2" x14ac:dyDescent="0.35">
      <c r="A107" t="s">
        <v>115</v>
      </c>
      <c r="B107" t="b">
        <v>1</v>
      </c>
    </row>
    <row r="108" spans="1:2" x14ac:dyDescent="0.35">
      <c r="A108" t="s">
        <v>116</v>
      </c>
      <c r="B108" t="b">
        <v>1</v>
      </c>
    </row>
    <row r="109" spans="1:2" x14ac:dyDescent="0.35">
      <c r="A109" t="s">
        <v>117</v>
      </c>
      <c r="B109" t="b">
        <v>1</v>
      </c>
    </row>
    <row r="110" spans="1:2" x14ac:dyDescent="0.35">
      <c r="A110" t="s">
        <v>118</v>
      </c>
      <c r="B110" t="b">
        <v>1</v>
      </c>
    </row>
    <row r="112" spans="1:2" x14ac:dyDescent="0.35">
      <c r="A112" t="s">
        <v>119</v>
      </c>
      <c r="B112" t="b">
        <v>1</v>
      </c>
    </row>
    <row r="113" spans="1:2" x14ac:dyDescent="0.35">
      <c r="A113" t="s">
        <v>120</v>
      </c>
      <c r="B113" t="b">
        <v>0</v>
      </c>
    </row>
    <row r="114" spans="1:2" x14ac:dyDescent="0.35">
      <c r="A114" t="s">
        <v>121</v>
      </c>
      <c r="B114" t="b">
        <v>1</v>
      </c>
    </row>
    <row r="115" spans="1:2" x14ac:dyDescent="0.35">
      <c r="A115" t="s">
        <v>122</v>
      </c>
      <c r="B115" t="b">
        <v>1</v>
      </c>
    </row>
    <row r="116" spans="1:2" x14ac:dyDescent="0.35">
      <c r="A116" t="s">
        <v>123</v>
      </c>
      <c r="B116" t="b">
        <v>1</v>
      </c>
    </row>
    <row r="117" spans="1:2" x14ac:dyDescent="0.35">
      <c r="A117" t="s">
        <v>124</v>
      </c>
      <c r="B117" t="b">
        <v>0</v>
      </c>
    </row>
    <row r="118" spans="1:2" x14ac:dyDescent="0.35">
      <c r="A118" t="s">
        <v>125</v>
      </c>
      <c r="B118" t="b">
        <v>0</v>
      </c>
    </row>
    <row r="119" spans="1:2" x14ac:dyDescent="0.35">
      <c r="A119" t="s">
        <v>126</v>
      </c>
      <c r="B119" t="b">
        <v>0</v>
      </c>
    </row>
    <row r="120" spans="1:2" x14ac:dyDescent="0.35">
      <c r="A120" t="s">
        <v>127</v>
      </c>
      <c r="B120" t="b">
        <v>0</v>
      </c>
    </row>
    <row r="121" spans="1:2" x14ac:dyDescent="0.35">
      <c r="A121" t="s">
        <v>128</v>
      </c>
      <c r="B121" t="b">
        <v>0</v>
      </c>
    </row>
    <row r="122" spans="1:2" x14ac:dyDescent="0.35">
      <c r="A122" t="s">
        <v>129</v>
      </c>
      <c r="B122" t="b">
        <v>0</v>
      </c>
    </row>
    <row r="123" spans="1:2" x14ac:dyDescent="0.35">
      <c r="A123" t="s">
        <v>130</v>
      </c>
      <c r="B123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18398D-D11A-48F7-81E7-F57DF1782B8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d2fdb41-339c-4257-87f2-a665730b31fc}" enabled="0" method="" siteId="{7d2fdb41-339c-4257-87f2-a665730b31f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Simulator description</vt:lpstr>
      <vt:lpstr>Hardware description</vt:lpstr>
      <vt:lpstr>Data acquisition</vt:lpstr>
      <vt:lpstr>Outputfile</vt:lpstr>
      <vt:lpstr>DataSummary(LinkedCells)</vt:lpstr>
      <vt:lpstr>Outputfile!_Toc171324274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Fresiello, Libera (UT-TNW)</dc:creator>
  <cp:lastModifiedBy>GHALI, GEORGE ASHRAF FAWZY</cp:lastModifiedBy>
  <dcterms:created xsi:type="dcterms:W3CDTF">2024-07-19T12:06:28Z</dcterms:created>
  <dcterms:modified xsi:type="dcterms:W3CDTF">2025-12-17T14:51:28Z</dcterms:modified>
</cp:coreProperties>
</file>